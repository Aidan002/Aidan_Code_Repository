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:\Shearing Interferometer Project\Original Setup\"/>
    </mc:Choice>
  </mc:AlternateContent>
  <xr:revisionPtr revIDLastSave="0" documentId="13_ncr:1_{3BC6E404-D277-4631-AE68-22D2266AA94D}" xr6:coauthVersionLast="47" xr6:coauthVersionMax="47" xr10:uidLastSave="{00000000-0000-0000-0000-000000000000}"/>
  <bookViews>
    <workbookView xWindow="-120" yWindow="-120" windowWidth="38640" windowHeight="16440" xr2:uid="{4B4234B7-F5C0-4300-8429-8E85664CE7AC}"/>
  </bookViews>
  <sheets>
    <sheet name="Method1" sheetId="1" r:id="rId1"/>
    <sheet name="Method2" sheetId="3" r:id="rId2"/>
    <sheet name="Data3" sheetId="2" r:id="rId3"/>
  </sheets>
  <definedNames>
    <definedName name="a">Method2!$N$1</definedName>
    <definedName name="Delta">Method2!$K$1</definedName>
    <definedName name="Lambda">Method2!$L$1</definedName>
    <definedName name="t">Method2!$M$1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  <c r="F3" i="3"/>
  <c r="F4" i="3"/>
  <c r="F5" i="3"/>
  <c r="F6" i="3"/>
  <c r="F2" i="3"/>
  <c r="O14" i="1"/>
  <c r="O11" i="1"/>
  <c r="O8" i="1"/>
  <c r="O5" i="1"/>
  <c r="O2" i="1"/>
  <c r="I3" i="3" l="1"/>
  <c r="G3" i="2" s="1"/>
  <c r="I4" i="3"/>
  <c r="G4" i="2" s="1"/>
  <c r="I5" i="3"/>
  <c r="G5" i="2" s="1"/>
  <c r="I6" i="3"/>
  <c r="G6" i="2" s="1"/>
  <c r="I2" i="3"/>
  <c r="G2" i="2" s="1"/>
  <c r="E3" i="3"/>
  <c r="E4" i="3"/>
  <c r="E5" i="3"/>
  <c r="E6" i="3"/>
  <c r="D3" i="3"/>
  <c r="D4" i="3"/>
  <c r="D5" i="3"/>
  <c r="D6" i="3"/>
  <c r="E2" i="3"/>
  <c r="D2" i="3"/>
  <c r="N1" i="3"/>
  <c r="E7" i="1"/>
  <c r="G7" i="1"/>
  <c r="H7" i="1" s="1"/>
  <c r="K7" i="1"/>
  <c r="L7" i="1" s="1"/>
  <c r="E3" i="1"/>
  <c r="G3" i="1"/>
  <c r="K3" i="1"/>
  <c r="L3" i="1" s="1"/>
  <c r="E4" i="1"/>
  <c r="G4" i="1"/>
  <c r="K4" i="1"/>
  <c r="L4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G11" i="1"/>
  <c r="G12" i="1"/>
  <c r="G13" i="1"/>
  <c r="G14" i="1"/>
  <c r="G15" i="1"/>
  <c r="G16" i="1"/>
  <c r="E11" i="1"/>
  <c r="E12" i="1"/>
  <c r="E13" i="1"/>
  <c r="E14" i="1"/>
  <c r="E15" i="1"/>
  <c r="E16" i="1"/>
  <c r="K8" i="1"/>
  <c r="L8" i="1" s="1"/>
  <c r="K6" i="1"/>
  <c r="K5" i="1"/>
  <c r="E5" i="1"/>
  <c r="G5" i="1"/>
  <c r="E6" i="1"/>
  <c r="G6" i="1"/>
  <c r="K10" i="1"/>
  <c r="L10" i="1" s="1"/>
  <c r="G10" i="1"/>
  <c r="E10" i="1"/>
  <c r="K9" i="1"/>
  <c r="G9" i="1"/>
  <c r="E9" i="1"/>
  <c r="G8" i="1"/>
  <c r="E8" i="1"/>
  <c r="K2" i="1"/>
  <c r="L2" i="1" s="1"/>
  <c r="G2" i="1"/>
  <c r="E2" i="1"/>
  <c r="G6" i="3" l="1"/>
  <c r="J6" i="3" s="1"/>
  <c r="G5" i="3"/>
  <c r="J5" i="3" s="1"/>
  <c r="G3" i="3"/>
  <c r="G4" i="3"/>
  <c r="G2" i="3"/>
  <c r="J2" i="3" s="1"/>
  <c r="H16" i="1"/>
  <c r="I16" i="1" s="1"/>
  <c r="S4" i="2" s="1"/>
  <c r="H11" i="1"/>
  <c r="M11" i="1" s="1"/>
  <c r="H4" i="1"/>
  <c r="M4" i="1" s="1"/>
  <c r="I7" i="1"/>
  <c r="M7" i="1"/>
  <c r="H3" i="1"/>
  <c r="M3" i="1" s="1"/>
  <c r="H13" i="1"/>
  <c r="I13" i="1" s="1"/>
  <c r="H14" i="1"/>
  <c r="H15" i="1"/>
  <c r="I15" i="1" s="1"/>
  <c r="H12" i="1"/>
  <c r="I12" i="1" s="1"/>
  <c r="H5" i="1"/>
  <c r="I5" i="1" s="1"/>
  <c r="M2" i="2" s="1"/>
  <c r="H6" i="1"/>
  <c r="I6" i="1" s="1"/>
  <c r="L6" i="1"/>
  <c r="L5" i="1"/>
  <c r="H9" i="1"/>
  <c r="I9" i="1" s="1"/>
  <c r="O3" i="2" s="1"/>
  <c r="H2" i="1"/>
  <c r="H10" i="1"/>
  <c r="M10" i="1" s="1"/>
  <c r="L9" i="1"/>
  <c r="I3" i="2"/>
  <c r="I4" i="2"/>
  <c r="H8" i="1"/>
  <c r="I8" i="1" s="1"/>
  <c r="O2" i="2" s="1"/>
  <c r="I2" i="2"/>
  <c r="H4" i="2" l="1"/>
  <c r="J4" i="3"/>
  <c r="H3" i="2"/>
  <c r="J3" i="3"/>
  <c r="M16" i="1"/>
  <c r="I14" i="1"/>
  <c r="S2" i="2" s="1"/>
  <c r="I11" i="1"/>
  <c r="Q2" i="2" s="1"/>
  <c r="J4" i="2"/>
  <c r="M2" i="1"/>
  <c r="Q2" i="1" s="1"/>
  <c r="D2" i="2" s="1"/>
  <c r="F2" i="2"/>
  <c r="F3" i="2"/>
  <c r="F4" i="2"/>
  <c r="F5" i="2"/>
  <c r="F6" i="2"/>
  <c r="H6" i="2"/>
  <c r="H5" i="2"/>
  <c r="H2" i="2"/>
  <c r="R2" i="2"/>
  <c r="M14" i="1"/>
  <c r="I4" i="1"/>
  <c r="K4" i="2" s="1"/>
  <c r="M13" i="1"/>
  <c r="I3" i="1"/>
  <c r="K3" i="2" s="1"/>
  <c r="P3" i="2"/>
  <c r="M12" i="1"/>
  <c r="Q11" i="1" s="1"/>
  <c r="D5" i="2" s="1"/>
  <c r="M15" i="1"/>
  <c r="R3" i="2"/>
  <c r="M5" i="1"/>
  <c r="M6" i="1"/>
  <c r="M8" i="1"/>
  <c r="P4" i="2"/>
  <c r="L4" i="2"/>
  <c r="M4" i="2"/>
  <c r="N2" i="2"/>
  <c r="Q4" i="2"/>
  <c r="J2" i="2"/>
  <c r="S3" i="2"/>
  <c r="I2" i="1"/>
  <c r="K2" i="2" s="1"/>
  <c r="N3" i="2"/>
  <c r="R4" i="2"/>
  <c r="Q3" i="2"/>
  <c r="L3" i="2"/>
  <c r="M3" i="2"/>
  <c r="P2" i="2"/>
  <c r="N4" i="2"/>
  <c r="M9" i="1"/>
  <c r="I10" i="1"/>
  <c r="O4" i="2" s="1"/>
  <c r="L2" i="2"/>
  <c r="J3" i="2"/>
  <c r="Q5" i="1" l="1"/>
  <c r="D3" i="2" s="1"/>
  <c r="Q8" i="1"/>
  <c r="D4" i="2" s="1"/>
  <c r="Q14" i="1"/>
  <c r="D6" i="2" s="1"/>
  <c r="S14" i="1"/>
  <c r="E6" i="2" s="1"/>
  <c r="S11" i="1"/>
  <c r="E5" i="2" s="1"/>
  <c r="S2" i="1"/>
  <c r="E2" i="2" s="1"/>
  <c r="S8" i="1"/>
  <c r="S5" i="1"/>
  <c r="E3" i="2" s="1"/>
  <c r="T14" i="1" l="1"/>
  <c r="B6" i="2" s="1"/>
  <c r="T8" i="1"/>
  <c r="B4" i="2" s="1"/>
  <c r="N10" i="1"/>
  <c r="E4" i="2"/>
  <c r="N14" i="1"/>
  <c r="N15" i="1"/>
  <c r="N16" i="1"/>
  <c r="T11" i="1"/>
  <c r="B5" i="2" s="1"/>
  <c r="N13" i="1"/>
  <c r="N12" i="1"/>
  <c r="N11" i="1"/>
  <c r="N8" i="1"/>
  <c r="N9" i="1"/>
  <c r="N7" i="1"/>
  <c r="N5" i="1"/>
  <c r="N6" i="1"/>
  <c r="N2" i="1"/>
  <c r="N3" i="1"/>
  <c r="N4" i="1"/>
  <c r="T5" i="1"/>
  <c r="B3" i="2" s="1"/>
  <c r="T2" i="1"/>
  <c r="B2" i="2" s="1"/>
  <c r="P2" i="1" l="1"/>
  <c r="R2" i="1" s="1"/>
  <c r="U2" i="1" s="1"/>
  <c r="C2" i="2" s="1"/>
  <c r="P5" i="1"/>
  <c r="R5" i="1" s="1"/>
  <c r="U5" i="1" s="1"/>
  <c r="C3" i="2" s="1"/>
  <c r="P14" i="1"/>
  <c r="R14" i="1" s="1"/>
  <c r="P8" i="1"/>
  <c r="R8" i="1" s="1"/>
  <c r="U8" i="1" s="1"/>
  <c r="C4" i="2" s="1"/>
  <c r="P11" i="1"/>
  <c r="R11" i="1" s="1"/>
  <c r="U14" i="1" l="1"/>
  <c r="C6" i="2" s="1"/>
  <c r="U11" i="1"/>
  <c r="C5" i="2" s="1"/>
</calcChain>
</file>

<file path=xl/sharedStrings.xml><?xml version="1.0" encoding="utf-8"?>
<sst xmlns="http://schemas.openxmlformats.org/spreadsheetml/2006/main" count="56" uniqueCount="48">
  <si>
    <t>Angle</t>
  </si>
  <si>
    <t>ChopperFrequency</t>
  </si>
  <si>
    <t>ActualFrequency</t>
  </si>
  <si>
    <t>DiscRadiusCM</t>
  </si>
  <si>
    <t>FWHMUS</t>
  </si>
  <si>
    <t>FWHMS</t>
  </si>
  <si>
    <t>AxialPositionCM</t>
  </si>
  <si>
    <t>BeamWidth</t>
  </si>
  <si>
    <t>AxialPositionMM</t>
  </si>
  <si>
    <t>Slope</t>
  </si>
  <si>
    <t>Delta</t>
  </si>
  <si>
    <t>X2</t>
  </si>
  <si>
    <t>XY</t>
  </si>
  <si>
    <t>DivergenceHalfAngle</t>
  </si>
  <si>
    <t>BeamWidth_40</t>
  </si>
  <si>
    <t>BeamWidth_20</t>
  </si>
  <si>
    <t>BeamWidth0</t>
  </si>
  <si>
    <t>BeamWidth20</t>
  </si>
  <si>
    <t>BeamWidth40</t>
  </si>
  <si>
    <t>Yint</t>
  </si>
  <si>
    <t>YInt</t>
  </si>
  <si>
    <t>BeamWidth_40U</t>
  </si>
  <si>
    <t>BeamWidth_20U</t>
  </si>
  <si>
    <t>BeamWidth0U</t>
  </si>
  <si>
    <t>BeamWidth20U</t>
  </si>
  <si>
    <t>BeamWidth40U</t>
  </si>
  <si>
    <t>SlopeU</t>
  </si>
  <si>
    <t>DivergenceHalfAngleU</t>
  </si>
  <si>
    <t>DiscRadiusMM</t>
  </si>
  <si>
    <t>BeamWidthU</t>
  </si>
  <si>
    <t>CU</t>
  </si>
  <si>
    <t>y-mx-b</t>
  </si>
  <si>
    <t>DL</t>
  </si>
  <si>
    <t>±0.25</t>
  </si>
  <si>
    <t>DivergenceHalfAngle2</t>
  </si>
  <si>
    <t>Phi1D</t>
  </si>
  <si>
    <t>Phi2D</t>
  </si>
  <si>
    <t>Phi1R</t>
  </si>
  <si>
    <t>Phi2R</t>
  </si>
  <si>
    <t>SlopeM1</t>
  </si>
  <si>
    <t>SlopeM2</t>
  </si>
  <si>
    <t>DivergenceHalfAngle1</t>
  </si>
  <si>
    <t>(Phi1-Phi2)/L</t>
  </si>
  <si>
    <t>XM2</t>
  </si>
  <si>
    <t>Far</t>
  </si>
  <si>
    <t>Middle</t>
  </si>
  <si>
    <t>Close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</si>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</sst>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00"/>
    <numFmt numFmtId="165" formatCode="0.000"/>
    <numFmt numFmtId="166" formatCode="0.0"/>
    <numFmt numFmtId="167" formatCode="0.0000000"/>
    <numFmt numFmtId="168" formatCode="0.00000"/>
    <numFmt numFmtId="169" formatCode="0.0%"/>
    <numFmt numFmtId="170" formatCode="0.0000"/>
    <numFmt numFmtId="171" formatCode="0.00000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" fontId="0" fillId="0" borderId="0" xfId="0" applyNumberFormat="1"/>
    <xf numFmtId="169" fontId="0" fillId="0" borderId="0" xfId="0" applyNumberFormat="1"/>
    <xf numFmtId="168" fontId="0" fillId="0" borderId="0" xfId="1" applyNumberFormat="1" applyFont="1"/>
    <xf numFmtId="170" fontId="0" fillId="0" borderId="0" xfId="0" applyNumberFormat="1"/>
    <xf numFmtId="171" fontId="0" fillId="0" borderId="0" xfId="0" applyNumberFormat="1"/>
    <xf numFmtId="1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D4B62-2AC5-4D1B-99B3-3FB719FC351A}">
  <sheetPr codeName="Sheet1"/>
  <dimension ref="A1:V85"/>
  <sheetViews>
    <sheetView tabSelected="1" workbookViewId="0">
      <selection activeCell="D19" sqref="D19"/>
    </sheetView>
  </sheetViews>
  <sheetFormatPr defaultRowHeight="15" x14ac:dyDescent="0.25"/>
  <cols>
    <col min="1" max="1" width="5.85546875" bestFit="1" customWidth="1"/>
    <col min="2" max="2" width="17.7109375" bestFit="1" customWidth="1"/>
    <col min="3" max="3" width="15.7109375" bestFit="1" customWidth="1"/>
    <col min="4" max="4" width="13.85546875" bestFit="1" customWidth="1"/>
    <col min="5" max="5" width="14.28515625" bestFit="1" customWidth="1"/>
    <col min="6" max="6" width="8.85546875" bestFit="1" customWidth="1"/>
    <col min="7" max="7" width="8.5703125" bestFit="1" customWidth="1"/>
    <col min="8" max="8" width="11.140625" bestFit="1" customWidth="1"/>
    <col min="9" max="9" width="12.42578125" bestFit="1" customWidth="1"/>
    <col min="10" max="10" width="15.42578125" bestFit="1" customWidth="1"/>
    <col min="11" max="11" width="15.85546875" bestFit="1" customWidth="1"/>
    <col min="12" max="12" width="8.5703125" bestFit="1" customWidth="1"/>
    <col min="13" max="13" width="11.7109375" bestFit="1" customWidth="1"/>
    <col min="14" max="14" width="8.85546875" bestFit="1" customWidth="1"/>
    <col min="15" max="15" width="6.7109375" bestFit="1" customWidth="1"/>
    <col min="16" max="16" width="7.5703125" bestFit="1" customWidth="1"/>
    <col min="17" max="17" width="9.28515625" bestFit="1" customWidth="1"/>
    <col min="18" max="18" width="8.5703125" bestFit="1" customWidth="1"/>
    <col min="19" max="19" width="5.5703125" bestFit="1" customWidth="1"/>
    <col min="20" max="20" width="19.28515625" bestFit="1" customWidth="1"/>
    <col min="21" max="21" width="20.5703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28</v>
      </c>
      <c r="F1" t="s">
        <v>4</v>
      </c>
      <c r="G1" t="s">
        <v>5</v>
      </c>
      <c r="H1" t="s">
        <v>7</v>
      </c>
      <c r="I1" t="s">
        <v>29</v>
      </c>
      <c r="J1" t="s">
        <v>6</v>
      </c>
      <c r="K1" s="4" t="s">
        <v>8</v>
      </c>
      <c r="L1" t="s">
        <v>11</v>
      </c>
      <c r="M1" t="s">
        <v>12</v>
      </c>
      <c r="N1" t="s">
        <v>31</v>
      </c>
      <c r="O1" t="s">
        <v>10</v>
      </c>
      <c r="P1" t="s">
        <v>30</v>
      </c>
      <c r="Q1" t="s">
        <v>9</v>
      </c>
      <c r="R1" t="s">
        <v>26</v>
      </c>
      <c r="S1" t="s">
        <v>19</v>
      </c>
      <c r="T1" t="s">
        <v>13</v>
      </c>
      <c r="U1" t="s">
        <v>27</v>
      </c>
    </row>
    <row r="2" spans="1:22" x14ac:dyDescent="0.25">
      <c r="A2">
        <v>-40</v>
      </c>
      <c r="B2">
        <v>609</v>
      </c>
      <c r="C2" s="4">
        <f>B2/5</f>
        <v>121.8</v>
      </c>
      <c r="D2" s="3">
        <v>2.6</v>
      </c>
      <c r="E2" s="4">
        <f>D2*10</f>
        <v>26</v>
      </c>
      <c r="F2">
        <v>302.5</v>
      </c>
      <c r="G2" s="1">
        <f>F2/1000000</f>
        <v>3.0249999999999998E-4</v>
      </c>
      <c r="H2" s="2">
        <f>(2*PI()*C2*E2*G2)/(SQRT(2*LN(2)))</f>
        <v>5.1120860466692069</v>
      </c>
      <c r="I2" s="2">
        <f>(H2*2*PI()*SQRT((((B2*0.02+1)/30)/B2)^2+(0.5/E2)^2+(0.000002/G2)^2))/SQRT(2*LN(2))</f>
        <v>0.55511084710664282</v>
      </c>
      <c r="J2">
        <v>43.8</v>
      </c>
      <c r="K2" s="4">
        <f t="shared" ref="K2:K7" si="0">J2*10</f>
        <v>438</v>
      </c>
      <c r="L2" s="4">
        <f t="shared" ref="L2:L7" si="1">K2^2</f>
        <v>191844</v>
      </c>
      <c r="M2">
        <f t="shared" ref="M2:M7" si="2">K2*H2</f>
        <v>2239.0936884411126</v>
      </c>
      <c r="N2" s="9">
        <f>H2-Q2*K2-S2</f>
        <v>-1.9105865074788397E-2</v>
      </c>
      <c r="O2">
        <f>3*SUM(L2:L4)-(SUM(K2:K4))^2</f>
        <v>138624</v>
      </c>
      <c r="P2" s="9">
        <f>SQRT((SUM(N2:N4))^2)</f>
        <v>8.8817841970012523E-16</v>
      </c>
      <c r="Q2" s="1">
        <f>(3*SUM(M2:M4)-SUM(H2:H4)*SUM(K2:K4))/O2</f>
        <v>-4.6207607037157981E-3</v>
      </c>
      <c r="R2" s="1">
        <f>P2*SQRT(3/O2)</f>
        <v>4.1318222596941446E-18</v>
      </c>
      <c r="S2" s="2">
        <f>(SUM(L2:L4)*SUM(H2:H4)-SUM(K2:K4)*SUM(M2:M4))/O2</f>
        <v>7.1550850999715152</v>
      </c>
      <c r="T2" s="2">
        <f>1000*ATAN(Q2)</f>
        <v>-4.6207278175216597</v>
      </c>
      <c r="U2">
        <f>1000*ATAN(R2)</f>
        <v>4.131822259694145E-15</v>
      </c>
    </row>
    <row r="3" spans="1:22" x14ac:dyDescent="0.25">
      <c r="A3">
        <v>-40</v>
      </c>
      <c r="B3">
        <v>644</v>
      </c>
      <c r="C3" s="4">
        <f t="shared" ref="C3:C16" si="3">B3/5</f>
        <v>128.80000000000001</v>
      </c>
      <c r="D3" s="3">
        <v>2.8</v>
      </c>
      <c r="E3" s="4">
        <f>D3*10</f>
        <v>28</v>
      </c>
      <c r="F3">
        <v>305.10000000000002</v>
      </c>
      <c r="G3" s="1">
        <f>F3/1000000</f>
        <v>3.0510000000000004E-4</v>
      </c>
      <c r="H3" s="2">
        <f>(2*PI()*C3*E3*G3)/(SQRT(2*LN(2)))</f>
        <v>5.871759268858372</v>
      </c>
      <c r="I3" s="2">
        <f>(H3*2*PI()*SQRT((((B3*0.02+1)/30)/B3)^2+(0.5/E3)^2+(0.000002/G3)^2))/SQRT(2*LN(2))</f>
        <v>0.59647648003566278</v>
      </c>
      <c r="J3">
        <v>28.6</v>
      </c>
      <c r="K3" s="4">
        <f t="shared" si="0"/>
        <v>286</v>
      </c>
      <c r="L3" s="4">
        <f t="shared" si="1"/>
        <v>81796</v>
      </c>
      <c r="M3">
        <f t="shared" si="2"/>
        <v>1679.3231508934944</v>
      </c>
      <c r="N3" s="9">
        <f>H3-Q2*K3-S2</f>
        <v>3.8211730149575018E-2</v>
      </c>
      <c r="P3" s="9"/>
      <c r="Q3" s="1"/>
      <c r="R3" s="1"/>
      <c r="S3" s="2"/>
      <c r="T3" s="2"/>
    </row>
    <row r="4" spans="1:22" x14ac:dyDescent="0.25">
      <c r="A4">
        <v>-40</v>
      </c>
      <c r="B4">
        <v>642</v>
      </c>
      <c r="C4" s="4">
        <f t="shared" si="3"/>
        <v>128.4</v>
      </c>
      <c r="D4" s="3">
        <v>2.95</v>
      </c>
      <c r="E4" s="4">
        <f>D4*10</f>
        <v>29.5</v>
      </c>
      <c r="F4">
        <v>322.39999999999998</v>
      </c>
      <c r="G4" s="1">
        <f>F4/1000000</f>
        <v>3.2239999999999998E-4</v>
      </c>
      <c r="H4" s="2">
        <f>(2*PI()*C4*E4*G4)/(SQRT(2*LN(2)))</f>
        <v>6.5167973005988111</v>
      </c>
      <c r="I4" s="2">
        <f>(H4*2*PI()*SQRT((((B4*0.02+1)/30)/B4)^2+(0.5/E4)^2+(0.000002/G4)^2))/SQRT(2*LN(2))</f>
        <v>0.62816982917888453</v>
      </c>
      <c r="J4">
        <v>13.4</v>
      </c>
      <c r="K4" s="4">
        <f t="shared" si="0"/>
        <v>134</v>
      </c>
      <c r="L4" s="4">
        <f t="shared" si="1"/>
        <v>17956</v>
      </c>
      <c r="M4">
        <f t="shared" si="2"/>
        <v>873.25083828024071</v>
      </c>
      <c r="N4" s="9">
        <f>H4-Q2*K4-S2</f>
        <v>-1.9105865074787509E-2</v>
      </c>
      <c r="P4" s="9"/>
      <c r="Q4" s="1"/>
      <c r="R4" s="1"/>
      <c r="S4" s="2"/>
      <c r="T4" s="2"/>
    </row>
    <row r="5" spans="1:22" x14ac:dyDescent="0.25">
      <c r="A5">
        <v>-20</v>
      </c>
      <c r="B5">
        <v>641</v>
      </c>
      <c r="C5" s="4">
        <f t="shared" si="3"/>
        <v>128.19999999999999</v>
      </c>
      <c r="D5" s="3">
        <v>2.7</v>
      </c>
      <c r="E5" s="4">
        <f t="shared" ref="E5:E7" si="4">D5*10</f>
        <v>27</v>
      </c>
      <c r="F5">
        <v>325.89999999999998</v>
      </c>
      <c r="G5" s="1">
        <f t="shared" ref="G5:G7" si="5">F5/1000000</f>
        <v>3.2589999999999995E-4</v>
      </c>
      <c r="H5" s="2">
        <f t="shared" ref="H5:H7" si="6">(2*PI()*C5*E5*G5)/(SQRT(2*LN(2)))</f>
        <v>6.0198863162005223</v>
      </c>
      <c r="I5" s="2">
        <f t="shared" ref="I5:I7" si="7">(H5*2*PI()*SQRT((((B5*0.02+1)/30)/B5)^2+(0.5/E5)^2+(0.000002/G5)^2))/SQRT(2*LN(2))</f>
        <v>0.62714402675768022</v>
      </c>
      <c r="J5">
        <v>43.8</v>
      </c>
      <c r="K5" s="4">
        <f t="shared" si="0"/>
        <v>438</v>
      </c>
      <c r="L5" s="4">
        <f t="shared" si="1"/>
        <v>191844</v>
      </c>
      <c r="M5">
        <f t="shared" si="2"/>
        <v>2636.710206495829</v>
      </c>
      <c r="N5" s="9">
        <f t="shared" ref="N5" si="8">H5-Q5*K5-S5</f>
        <v>6.2768027973033824E-2</v>
      </c>
      <c r="O5">
        <f>3*SUM(L5:L7)-(SUM(K5:K7))^2</f>
        <v>138624</v>
      </c>
      <c r="P5" s="9">
        <f>SQRT((SUM(N5:N7))^2)</f>
        <v>8.8817841970012523E-16</v>
      </c>
      <c r="Q5" s="1">
        <f>(3*SUM(M5:M7)-SUM(H5:H7)*SUM(K5:K7))/O5</f>
        <v>-3.1116087871909549E-3</v>
      </c>
      <c r="R5" s="1">
        <f>P5*SQRT(3/O5)</f>
        <v>4.1318222596941446E-18</v>
      </c>
      <c r="S5" s="2">
        <f>(SUM(L5:L7)*SUM(H5:H7)-SUM(K5:K7)*SUM(M5:M7))/O5</f>
        <v>7.3200029370171267</v>
      </c>
      <c r="T5" s="2">
        <f>1000*ATAN(Q5)</f>
        <v>-3.1115987449372251</v>
      </c>
      <c r="U5">
        <f t="shared" ref="U5" si="9">1000*ATAN(R5)</f>
        <v>4.131822259694145E-15</v>
      </c>
    </row>
    <row r="6" spans="1:22" x14ac:dyDescent="0.25">
      <c r="A6">
        <v>-20</v>
      </c>
      <c r="B6">
        <v>629</v>
      </c>
      <c r="C6" s="4">
        <f t="shared" si="3"/>
        <v>125.8</v>
      </c>
      <c r="D6" s="3">
        <v>2.8</v>
      </c>
      <c r="E6" s="4">
        <f t="shared" si="4"/>
        <v>28</v>
      </c>
      <c r="F6">
        <v>335.4</v>
      </c>
      <c r="G6" s="1">
        <f t="shared" si="5"/>
        <v>3.3539999999999997E-4</v>
      </c>
      <c r="H6" s="2">
        <f t="shared" si="6"/>
        <v>6.3045467679344336</v>
      </c>
      <c r="I6" s="2">
        <f t="shared" si="7"/>
        <v>0.63385737320091762</v>
      </c>
      <c r="J6">
        <v>28.6</v>
      </c>
      <c r="K6" s="4">
        <f t="shared" si="0"/>
        <v>286</v>
      </c>
      <c r="L6" s="4">
        <f t="shared" si="1"/>
        <v>81796</v>
      </c>
      <c r="M6">
        <f t="shared" si="2"/>
        <v>1803.100375629248</v>
      </c>
      <c r="N6" s="9">
        <f>H6-Q5*K6-S5</f>
        <v>-0.12553605594608008</v>
      </c>
      <c r="P6" s="9"/>
      <c r="Q6" s="1"/>
      <c r="R6" s="1"/>
      <c r="S6" s="2"/>
      <c r="T6" s="2"/>
    </row>
    <row r="7" spans="1:22" x14ac:dyDescent="0.25">
      <c r="A7">
        <v>-20</v>
      </c>
      <c r="B7">
        <v>630</v>
      </c>
      <c r="C7" s="4">
        <f t="shared" si="3"/>
        <v>126</v>
      </c>
      <c r="D7" s="3">
        <v>2.85</v>
      </c>
      <c r="E7" s="4">
        <f t="shared" si="4"/>
        <v>28.5</v>
      </c>
      <c r="F7">
        <v>363.5</v>
      </c>
      <c r="G7" s="1">
        <f t="shared" si="5"/>
        <v>3.635E-4</v>
      </c>
      <c r="H7" s="2">
        <f t="shared" si="6"/>
        <v>6.965815387506586</v>
      </c>
      <c r="I7" s="2">
        <f t="shared" si="7"/>
        <v>0.68399534920443972</v>
      </c>
      <c r="J7">
        <v>13.4</v>
      </c>
      <c r="K7" s="4">
        <f t="shared" si="0"/>
        <v>134</v>
      </c>
      <c r="L7" s="4">
        <f t="shared" si="1"/>
        <v>17956</v>
      </c>
      <c r="M7">
        <f t="shared" si="2"/>
        <v>933.41926192588255</v>
      </c>
      <c r="N7" s="9">
        <f>H7-Q5*K7-S5</f>
        <v>6.2768027973047147E-2</v>
      </c>
      <c r="P7" s="9"/>
      <c r="Q7" s="1"/>
      <c r="R7" s="1"/>
      <c r="S7" s="2"/>
      <c r="T7" s="2"/>
    </row>
    <row r="8" spans="1:22" x14ac:dyDescent="0.25">
      <c r="A8">
        <v>0</v>
      </c>
      <c r="B8">
        <v>644</v>
      </c>
      <c r="C8" s="4">
        <f t="shared" si="3"/>
        <v>128.80000000000001</v>
      </c>
      <c r="D8" s="3">
        <v>2.65</v>
      </c>
      <c r="E8" s="4">
        <f t="shared" ref="E8:E10" si="10">D8*10</f>
        <v>26.5</v>
      </c>
      <c r="F8">
        <v>417.8</v>
      </c>
      <c r="G8" s="1">
        <f t="shared" ref="G8:G10" si="11">F8/1000000</f>
        <v>4.1780000000000002E-4</v>
      </c>
      <c r="H8" s="2">
        <f t="shared" ref="H8:H10" si="12">(2*PI()*C8*E8*G8)/(SQRT(2*LN(2)))</f>
        <v>7.6099589241254897</v>
      </c>
      <c r="I8" s="2">
        <f t="shared" ref="I8:I10" si="13">(H8*2*PI()*SQRT((((B8*0.02+1)/30)/B8)^2+(0.5/E8)^2+(0.000002/G8)^2))/SQRT(2*LN(2))</f>
        <v>0.7910432325615111</v>
      </c>
      <c r="J8">
        <v>43.8</v>
      </c>
      <c r="K8" s="4">
        <f t="shared" ref="K8" si="14">J8*10</f>
        <v>438</v>
      </c>
      <c r="L8" s="4">
        <f t="shared" ref="L8" si="15">K8^2</f>
        <v>191844</v>
      </c>
      <c r="M8">
        <f t="shared" ref="M8" si="16">K8*H8</f>
        <v>3333.1620087669644</v>
      </c>
      <c r="N8" s="9">
        <f>H8-Q8*K8-S8</f>
        <v>-2.1211795755121443E-2</v>
      </c>
      <c r="O8">
        <f>3*SUM(L8:L10)-(SUM(K8:K10))^2</f>
        <v>138624</v>
      </c>
      <c r="P8" s="9">
        <f>SQRT((SUM(N8:N10))^2)</f>
        <v>2.6645352591003757E-15</v>
      </c>
      <c r="Q8" s="1">
        <f>(3*SUM(M8:M10)-SUM(H8:H10)*SUM(K8:K10))/O8</f>
        <v>-7.825492935658922E-4</v>
      </c>
      <c r="R8" s="1">
        <f>P8*SQRT(3/O8)</f>
        <v>1.2395466779082435E-17</v>
      </c>
      <c r="S8" s="2">
        <f>(SUM(L8:L10)*SUM(H8:H10)-SUM(K8:K10)*SUM(M8:M10))/O8</f>
        <v>7.9739273104624715</v>
      </c>
      <c r="T8" s="2">
        <f t="shared" ref="T8" si="17">1000*ATAN(Q8)</f>
        <v>-0.78254913382588598</v>
      </c>
      <c r="U8">
        <f t="shared" ref="U8" si="18">1000*ATAN(R8)</f>
        <v>1.2395466779082435E-14</v>
      </c>
    </row>
    <row r="9" spans="1:22" x14ac:dyDescent="0.25">
      <c r="A9">
        <v>0</v>
      </c>
      <c r="B9">
        <v>641</v>
      </c>
      <c r="C9" s="4">
        <f t="shared" si="3"/>
        <v>128.19999999999999</v>
      </c>
      <c r="D9" s="3">
        <v>2.8</v>
      </c>
      <c r="E9" s="4">
        <f t="shared" si="10"/>
        <v>28</v>
      </c>
      <c r="F9">
        <v>406.8</v>
      </c>
      <c r="G9" s="1">
        <f t="shared" si="11"/>
        <v>4.0680000000000002E-4</v>
      </c>
      <c r="H9" s="2">
        <f t="shared" si="12"/>
        <v>7.7925418040128687</v>
      </c>
      <c r="I9" s="2">
        <f t="shared" si="13"/>
        <v>0.77078966567187535</v>
      </c>
      <c r="J9">
        <v>28.6</v>
      </c>
      <c r="K9" s="4">
        <f t="shared" ref="K9:K10" si="19">J9*10</f>
        <v>286</v>
      </c>
      <c r="L9" s="4">
        <f t="shared" ref="L9:L10" si="20">K9^2</f>
        <v>81796</v>
      </c>
      <c r="M9">
        <f t="shared" ref="M9:M10" si="21">K9*H9</f>
        <v>2228.6669559476804</v>
      </c>
      <c r="N9" s="9">
        <f>H9-Q8*K9-S8</f>
        <v>4.2423591510242886E-2</v>
      </c>
      <c r="P9" s="9"/>
      <c r="Q9" s="1"/>
      <c r="R9" s="1"/>
      <c r="S9" s="2"/>
      <c r="T9" s="2"/>
    </row>
    <row r="10" spans="1:22" x14ac:dyDescent="0.25">
      <c r="A10">
        <v>0</v>
      </c>
      <c r="B10">
        <v>641</v>
      </c>
      <c r="C10" s="4">
        <f t="shared" si="3"/>
        <v>128.19999999999999</v>
      </c>
      <c r="D10" s="3">
        <v>2.85</v>
      </c>
      <c r="E10" s="4">
        <f t="shared" si="10"/>
        <v>28.5</v>
      </c>
      <c r="F10">
        <v>402.5</v>
      </c>
      <c r="G10" s="1">
        <f t="shared" si="11"/>
        <v>4.0250000000000003E-4</v>
      </c>
      <c r="H10" s="2">
        <f t="shared" si="12"/>
        <v>7.8478539093695234</v>
      </c>
      <c r="I10" s="2">
        <f t="shared" si="13"/>
        <v>0.76422491077389088</v>
      </c>
      <c r="J10">
        <v>13.4</v>
      </c>
      <c r="K10" s="4">
        <f t="shared" si="19"/>
        <v>134</v>
      </c>
      <c r="L10" s="4">
        <f t="shared" si="20"/>
        <v>17956</v>
      </c>
      <c r="M10">
        <f t="shared" si="21"/>
        <v>1051.6124238555162</v>
      </c>
      <c r="N10" s="9">
        <f>H10-Q8*K10-S8</f>
        <v>-2.1211795755118779E-2</v>
      </c>
      <c r="P10" s="9"/>
      <c r="Q10" s="1"/>
      <c r="R10" s="1"/>
      <c r="S10" s="2"/>
      <c r="T10" s="2"/>
    </row>
    <row r="11" spans="1:22" x14ac:dyDescent="0.25">
      <c r="A11">
        <v>20</v>
      </c>
      <c r="B11">
        <v>681</v>
      </c>
      <c r="C11" s="4">
        <f t="shared" si="3"/>
        <v>136.19999999999999</v>
      </c>
      <c r="D11" s="3">
        <v>2.75</v>
      </c>
      <c r="E11" s="4">
        <f t="shared" ref="E11:E16" si="22">D11*10</f>
        <v>27.5</v>
      </c>
      <c r="F11">
        <v>481.2</v>
      </c>
      <c r="G11" s="1">
        <f>F11/1000000</f>
        <v>4.8119999999999999E-4</v>
      </c>
      <c r="H11" s="2">
        <f>(2*PI()*C11*E11*G11)/(SQRT(2*LN(2)))</f>
        <v>9.6180617293773345</v>
      </c>
      <c r="I11" s="2">
        <f>(H11*2*PI()*SQRT((((B11*0.02+1)/30)/B11)^2+(0.5/E11)^2+(0.000002/G11)^2))/SQRT(2*LN(2))</f>
        <v>0.95798147544230527</v>
      </c>
      <c r="J11">
        <v>43.8</v>
      </c>
      <c r="K11" s="4">
        <f>J11*10</f>
        <v>438</v>
      </c>
      <c r="L11" s="4">
        <f>K11^2</f>
        <v>191844</v>
      </c>
      <c r="M11">
        <f>K11*H11</f>
        <v>4212.7110374672729</v>
      </c>
      <c r="N11" s="9">
        <f>H11-Q11*K11-S11</f>
        <v>2.458120123932872E-2</v>
      </c>
      <c r="O11">
        <f>3*SUM(L11:L13)-(SUM(K11:K13))^2</f>
        <v>138624</v>
      </c>
      <c r="P11" s="9">
        <f>SQRT((SUM(N11:N13))^2)</f>
        <v>7.9936057773011271E-15</v>
      </c>
      <c r="Q11" s="1">
        <f>(3*SUM(M11:M13)-SUM(H11:H13)*SUM(K11:K13))/O11</f>
        <v>4.2058197077191588E-3</v>
      </c>
      <c r="R11" s="1">
        <f>P11*SQRT(3/O11)</f>
        <v>3.7186400337247301E-17</v>
      </c>
      <c r="S11" s="2">
        <f>(SUM(L11:L13)*SUM(H11:H13)-SUM(K11:K13)*SUM(M11:M13))/O11</f>
        <v>7.7513314961570146</v>
      </c>
      <c r="T11" s="2">
        <f>1000*ATAN(Q11)</f>
        <v>4.2057949091803941</v>
      </c>
      <c r="U11">
        <f>1000*ATAN(R11)</f>
        <v>3.7186400337247303E-14</v>
      </c>
    </row>
    <row r="12" spans="1:22" x14ac:dyDescent="0.25">
      <c r="A12">
        <v>20</v>
      </c>
      <c r="B12">
        <v>659</v>
      </c>
      <c r="C12" s="4">
        <f t="shared" si="3"/>
        <v>131.80000000000001</v>
      </c>
      <c r="D12" s="3">
        <v>2.75</v>
      </c>
      <c r="E12" s="4">
        <f t="shared" si="22"/>
        <v>27.5</v>
      </c>
      <c r="F12">
        <v>460.4</v>
      </c>
      <c r="G12" s="1">
        <f>F12/1000000</f>
        <v>4.6039999999999997E-4</v>
      </c>
      <c r="H12" s="2">
        <f>(2*PI()*C12*E12*G12)/(SQRT(2*LN(2)))</f>
        <v>8.9050335300860368</v>
      </c>
      <c r="I12" s="2">
        <f>(H12*2*PI()*SQRT((((B12*0.02+1)/30)/B12)^2+(0.5/E12)^2+(0.000002/G12)^2))/SQRT(2*LN(2))</f>
        <v>0.8889947759435316</v>
      </c>
      <c r="J12">
        <v>28.6</v>
      </c>
      <c r="K12" s="4">
        <f>J12*10</f>
        <v>286</v>
      </c>
      <c r="L12" s="4">
        <f>K12^2</f>
        <v>81796</v>
      </c>
      <c r="M12">
        <f>K12*H12</f>
        <v>2546.8395896046063</v>
      </c>
      <c r="N12" s="9">
        <f>H12-Q11*K12-S11</f>
        <v>-4.9162402478657441E-2</v>
      </c>
      <c r="P12" s="9"/>
      <c r="Q12" s="1"/>
      <c r="R12" s="1"/>
      <c r="S12" s="2"/>
      <c r="T12" s="2"/>
    </row>
    <row r="13" spans="1:22" x14ac:dyDescent="0.25">
      <c r="A13">
        <v>20</v>
      </c>
      <c r="B13">
        <v>616</v>
      </c>
      <c r="C13" s="4">
        <f t="shared" si="3"/>
        <v>123.2</v>
      </c>
      <c r="D13" s="3">
        <v>2.7</v>
      </c>
      <c r="E13" s="4">
        <f t="shared" si="22"/>
        <v>27</v>
      </c>
      <c r="F13">
        <v>469.8</v>
      </c>
      <c r="G13" s="1">
        <f>F13/1000000</f>
        <v>4.6980000000000004E-4</v>
      </c>
      <c r="H13" s="2">
        <f>(2*PI()*C13*E13*G13)/(SQRT(2*LN(2)))</f>
        <v>8.3394925382307186</v>
      </c>
      <c r="I13" s="2">
        <f>(H13*2*PI()*SQRT((((B13*0.02+1)/30)/B13)^2+(0.5/E13)^2+(0.000002/G13)^2))/SQRT(2*LN(2))</f>
        <v>0.84623871692149411</v>
      </c>
      <c r="J13">
        <v>13.4</v>
      </c>
      <c r="K13" s="4">
        <f>J13*10</f>
        <v>134</v>
      </c>
      <c r="L13" s="4">
        <f>K13^2</f>
        <v>17956</v>
      </c>
      <c r="M13">
        <f>K13*H13</f>
        <v>1117.4920001229164</v>
      </c>
      <c r="N13" s="9">
        <f>H13-Q11*K13-S11</f>
        <v>2.4581201239336714E-2</v>
      </c>
      <c r="P13" s="9"/>
      <c r="Q13" s="1"/>
      <c r="R13" s="1"/>
      <c r="S13" s="2"/>
      <c r="T13" s="2"/>
    </row>
    <row r="14" spans="1:22" x14ac:dyDescent="0.25">
      <c r="A14">
        <v>40</v>
      </c>
      <c r="B14">
        <v>616</v>
      </c>
      <c r="C14" s="4">
        <f t="shared" si="3"/>
        <v>123.2</v>
      </c>
      <c r="D14" s="3">
        <v>3.1</v>
      </c>
      <c r="E14" s="4">
        <f t="shared" si="22"/>
        <v>31</v>
      </c>
      <c r="F14">
        <v>716</v>
      </c>
      <c r="G14" s="1">
        <f t="shared" ref="G14:G16" si="23">F14/1000000</f>
        <v>7.1599999999999995E-4</v>
      </c>
      <c r="H14" s="2">
        <f t="shared" ref="H14:H16" si="24">(2*PI()*C14*E14*G14)/(SQRT(2*LN(2)))</f>
        <v>14.592764169037181</v>
      </c>
      <c r="I14" s="2">
        <f t="shared" ref="I14:I16" si="25">(H14*2*PI()*SQRT((((B14*0.02+1)/30)/B14)^2+(0.5/E14)^2+(0.000002/G14)^2))/SQRT(2*LN(2))</f>
        <v>1.275956095523334</v>
      </c>
      <c r="J14">
        <v>43.8</v>
      </c>
      <c r="K14" s="4">
        <f t="shared" ref="K14:K16" si="26">J14*10</f>
        <v>438</v>
      </c>
      <c r="L14" s="4">
        <f t="shared" ref="L14:L16" si="27">K14^2</f>
        <v>191844</v>
      </c>
      <c r="M14">
        <f t="shared" ref="M14:M16" si="28">K14*H14</f>
        <v>6391.6307060382851</v>
      </c>
      <c r="N14" s="9">
        <f>H14-Q14*K14-S14</f>
        <v>-5.8111943037828517E-2</v>
      </c>
      <c r="O14">
        <f>3*SUM(L14:L16)-(SUM(K14:K16))^2</f>
        <v>138624</v>
      </c>
      <c r="P14" s="9">
        <f>SQRT((SUM(N14:N16))^2)</f>
        <v>2.8421709430404007E-14</v>
      </c>
      <c r="Q14" s="1">
        <f>(3*SUM(M14:M16)-SUM(H14:H16)*SUM(K14:K16))/O14</f>
        <v>1.5700199140428021E-2</v>
      </c>
      <c r="R14" s="1">
        <f>P14*SQRT(3/O14)</f>
        <v>1.3221831231021263E-16</v>
      </c>
      <c r="S14" s="2">
        <f>(SUM(L14:L16)*SUM(H14:H16)-SUM(K14:K16)*SUM(M14:M16))/O14</f>
        <v>7.7741888885675365</v>
      </c>
      <c r="T14" s="2">
        <f>1000*ATAN(Q14)</f>
        <v>15.698909317764441</v>
      </c>
      <c r="U14">
        <f>1000*ATAN(R14)</f>
        <v>1.3221831231021264E-13</v>
      </c>
    </row>
    <row r="15" spans="1:22" x14ac:dyDescent="0.25">
      <c r="A15">
        <v>40</v>
      </c>
      <c r="B15">
        <v>618</v>
      </c>
      <c r="C15" s="4">
        <f t="shared" si="3"/>
        <v>123.6</v>
      </c>
      <c r="D15" s="3">
        <v>2.7</v>
      </c>
      <c r="E15" s="4">
        <f t="shared" si="22"/>
        <v>27</v>
      </c>
      <c r="F15">
        <v>695.2</v>
      </c>
      <c r="G15" s="1">
        <f t="shared" si="23"/>
        <v>6.9520000000000009E-4</v>
      </c>
      <c r="H15" s="2">
        <f t="shared" si="24"/>
        <v>12.380669728805573</v>
      </c>
      <c r="I15" s="2">
        <f t="shared" si="25"/>
        <v>1.2390867483968058</v>
      </c>
      <c r="J15">
        <v>28.6</v>
      </c>
      <c r="K15" s="4">
        <f t="shared" si="26"/>
        <v>286</v>
      </c>
      <c r="L15" s="4">
        <f t="shared" si="27"/>
        <v>81796</v>
      </c>
      <c r="M15">
        <f t="shared" si="28"/>
        <v>3540.871542438394</v>
      </c>
      <c r="N15" s="9">
        <f>H15-Q14*K15-S14</f>
        <v>0.1162238860756224</v>
      </c>
      <c r="P15" s="9"/>
      <c r="Q15" s="1"/>
      <c r="R15" s="1"/>
      <c r="S15" s="2"/>
      <c r="T15" s="2"/>
      <c r="V15" s="9"/>
    </row>
    <row r="16" spans="1:22" x14ac:dyDescent="0.25">
      <c r="A16">
        <v>40</v>
      </c>
      <c r="B16">
        <v>638</v>
      </c>
      <c r="C16" s="4">
        <f t="shared" si="3"/>
        <v>127.6</v>
      </c>
      <c r="D16" s="3">
        <v>2.65</v>
      </c>
      <c r="E16" s="4">
        <f t="shared" si="22"/>
        <v>26.5</v>
      </c>
      <c r="F16">
        <v>544.20000000000005</v>
      </c>
      <c r="G16" s="1">
        <f t="shared" si="23"/>
        <v>5.442E-4</v>
      </c>
      <c r="H16" s="2">
        <f t="shared" si="24"/>
        <v>9.8199036303470688</v>
      </c>
      <c r="I16" s="2">
        <f t="shared" si="25"/>
        <v>1.0080291453105821</v>
      </c>
      <c r="J16">
        <v>13.4</v>
      </c>
      <c r="K16" s="4">
        <f t="shared" si="26"/>
        <v>134</v>
      </c>
      <c r="L16" s="4">
        <f t="shared" si="27"/>
        <v>17956</v>
      </c>
      <c r="M16">
        <f t="shared" si="28"/>
        <v>1315.8670864665073</v>
      </c>
      <c r="N16" s="9">
        <f>H16-Q14*K16-S14</f>
        <v>-5.81119430378223E-2</v>
      </c>
      <c r="P16" s="9"/>
      <c r="Q16" s="1"/>
      <c r="R16" s="1"/>
      <c r="S16" s="2"/>
      <c r="T16" s="2"/>
      <c r="V16" s="9"/>
    </row>
    <row r="19" spans="3:20" x14ac:dyDescent="0.25">
      <c r="J19" t="s">
        <v>44</v>
      </c>
      <c r="K19">
        <v>43.8</v>
      </c>
    </row>
    <row r="20" spans="3:20" x14ac:dyDescent="0.25">
      <c r="J20" t="s">
        <v>45</v>
      </c>
      <c r="K20">
        <v>28.6</v>
      </c>
    </row>
    <row r="21" spans="3:20" x14ac:dyDescent="0.25">
      <c r="J21" t="s">
        <v>46</v>
      </c>
      <c r="K21">
        <v>13.4</v>
      </c>
    </row>
    <row r="24" spans="3:20" x14ac:dyDescent="0.25">
      <c r="C24" s="4"/>
      <c r="D24" s="3"/>
      <c r="E24" s="4"/>
      <c r="G24" s="1"/>
      <c r="H24" s="2"/>
      <c r="I24" s="2"/>
      <c r="J24" s="3"/>
      <c r="K24" s="4"/>
      <c r="L24" s="4"/>
      <c r="N24" s="9"/>
      <c r="P24" s="9"/>
      <c r="Q24" s="1"/>
      <c r="R24" s="1"/>
      <c r="S24" s="2"/>
      <c r="T24" s="2"/>
    </row>
    <row r="25" spans="3:20" x14ac:dyDescent="0.25">
      <c r="C25" s="4"/>
      <c r="D25" s="3"/>
      <c r="E25" s="4"/>
      <c r="G25" s="1"/>
      <c r="H25" s="2"/>
      <c r="I25" s="2"/>
      <c r="J25" s="3"/>
      <c r="K25" s="4"/>
      <c r="L25" s="4"/>
      <c r="N25" s="9"/>
      <c r="P25" s="9"/>
      <c r="Q25" s="1"/>
      <c r="R25" s="1"/>
      <c r="S25" s="2"/>
      <c r="T25" s="2"/>
    </row>
    <row r="30" spans="3:20" x14ac:dyDescent="0.25">
      <c r="C30" s="4"/>
      <c r="D30" s="3"/>
      <c r="E30" s="4"/>
      <c r="G30" s="1"/>
      <c r="H30" s="2"/>
      <c r="I30" s="2"/>
      <c r="J30" s="3"/>
      <c r="K30" s="4"/>
      <c r="L30" s="4"/>
      <c r="N30" s="9"/>
      <c r="P30" s="9"/>
      <c r="Q30" s="1"/>
      <c r="R30" s="1"/>
      <c r="S30" s="2"/>
      <c r="T30" s="2"/>
    </row>
    <row r="31" spans="3:20" x14ac:dyDescent="0.25">
      <c r="C31" s="4"/>
      <c r="D31" s="3"/>
      <c r="E31" s="4"/>
      <c r="G31" s="1"/>
      <c r="H31" s="2"/>
      <c r="I31" s="2"/>
      <c r="J31" s="3"/>
      <c r="K31" s="4"/>
      <c r="L31" s="4"/>
      <c r="N31" s="9"/>
      <c r="P31" s="9"/>
      <c r="Q31" s="1"/>
      <c r="R31" s="1"/>
      <c r="S31" s="2"/>
      <c r="T31" s="2"/>
    </row>
    <row r="32" spans="3:20" x14ac:dyDescent="0.25">
      <c r="C32" s="4"/>
      <c r="D32" s="3"/>
      <c r="E32" s="4"/>
      <c r="G32" s="1"/>
      <c r="H32" s="2"/>
      <c r="I32" s="2"/>
      <c r="J32" s="3"/>
      <c r="K32" s="4"/>
      <c r="L32" s="4"/>
      <c r="N32" s="9"/>
      <c r="P32" s="9"/>
      <c r="Q32" s="1"/>
      <c r="R32" s="1"/>
      <c r="S32" s="2"/>
      <c r="T32" s="2"/>
    </row>
    <row r="33" spans="3:20" x14ac:dyDescent="0.25">
      <c r="C33" s="4"/>
      <c r="D33" s="3"/>
      <c r="E33" s="4"/>
      <c r="G33" s="1"/>
      <c r="H33" s="2"/>
      <c r="I33" s="2"/>
      <c r="J33" s="3"/>
      <c r="K33" s="4"/>
      <c r="L33" s="4"/>
      <c r="N33" s="9"/>
      <c r="P33" s="9"/>
      <c r="Q33" s="1"/>
      <c r="R33" s="1"/>
      <c r="S33" s="2"/>
      <c r="T33" s="2"/>
    </row>
    <row r="34" spans="3:20" x14ac:dyDescent="0.25">
      <c r="C34" s="4"/>
      <c r="D34" s="3"/>
      <c r="E34" s="4"/>
      <c r="G34" s="1"/>
      <c r="H34" s="2"/>
      <c r="I34" s="2"/>
      <c r="J34" s="3"/>
      <c r="K34" s="4"/>
      <c r="L34" s="4"/>
      <c r="N34" s="9"/>
      <c r="P34" s="9"/>
      <c r="Q34" s="1"/>
      <c r="R34" s="1"/>
      <c r="S34" s="2"/>
      <c r="T34" s="2"/>
    </row>
    <row r="35" spans="3:20" x14ac:dyDescent="0.25">
      <c r="C35" s="4"/>
      <c r="D35" s="3"/>
      <c r="E35" s="4"/>
      <c r="G35" s="1"/>
      <c r="H35" s="2"/>
      <c r="I35" s="2"/>
      <c r="J35" s="3"/>
      <c r="K35" s="4"/>
      <c r="L35" s="4"/>
      <c r="N35" s="9"/>
      <c r="P35" s="9"/>
      <c r="Q35" s="1"/>
      <c r="R35" s="1"/>
      <c r="S35" s="2"/>
      <c r="T35" s="2"/>
    </row>
    <row r="36" spans="3:20" x14ac:dyDescent="0.25">
      <c r="C36" s="4"/>
      <c r="D36" s="3"/>
      <c r="E36" s="4"/>
      <c r="G36" s="1"/>
      <c r="H36" s="2"/>
      <c r="I36" s="2"/>
      <c r="J36" s="3"/>
      <c r="K36" s="4"/>
      <c r="L36" s="4"/>
      <c r="N36" s="9"/>
      <c r="P36" s="9"/>
      <c r="Q36" s="1"/>
      <c r="R36" s="1"/>
      <c r="S36" s="2"/>
      <c r="T36" s="2"/>
    </row>
    <row r="37" spans="3:20" x14ac:dyDescent="0.25">
      <c r="C37" s="4"/>
      <c r="D37" s="3"/>
      <c r="E37" s="4"/>
      <c r="G37" s="1"/>
      <c r="H37" s="2"/>
      <c r="I37" s="2"/>
      <c r="J37" s="3"/>
      <c r="K37" s="4"/>
      <c r="L37" s="4"/>
      <c r="N37" s="9"/>
      <c r="P37" s="9"/>
      <c r="Q37" s="1"/>
      <c r="R37" s="1"/>
      <c r="S37" s="2"/>
      <c r="T37" s="2"/>
    </row>
    <row r="38" spans="3:20" x14ac:dyDescent="0.25">
      <c r="C38" s="4"/>
      <c r="D38" s="3"/>
      <c r="E38" s="4"/>
      <c r="G38" s="1"/>
      <c r="H38" s="2"/>
      <c r="I38" s="2"/>
      <c r="J38" s="3"/>
      <c r="K38" s="4"/>
      <c r="L38" s="4"/>
      <c r="N38" s="9"/>
      <c r="P38" s="9"/>
      <c r="Q38" s="1"/>
      <c r="R38" s="1"/>
      <c r="S38" s="2"/>
      <c r="T38" s="2"/>
    </row>
    <row r="39" spans="3:20" x14ac:dyDescent="0.25">
      <c r="C39" s="4"/>
      <c r="D39" s="3"/>
      <c r="E39" s="4"/>
      <c r="G39" s="1"/>
      <c r="H39" s="2"/>
      <c r="I39" s="2"/>
      <c r="J39" s="3"/>
      <c r="K39" s="4"/>
      <c r="L39" s="4"/>
      <c r="N39" s="9"/>
      <c r="P39" s="9"/>
      <c r="Q39" s="1"/>
      <c r="R39" s="1"/>
      <c r="S39" s="2"/>
      <c r="T39" s="2"/>
    </row>
    <row r="40" spans="3:20" x14ac:dyDescent="0.25">
      <c r="C40" s="4"/>
      <c r="D40" s="3"/>
      <c r="E40" s="4"/>
      <c r="G40" s="1"/>
      <c r="H40" s="2"/>
      <c r="I40" s="2"/>
      <c r="J40" s="3"/>
      <c r="K40" s="4"/>
      <c r="L40" s="4"/>
      <c r="N40" s="9"/>
      <c r="P40" s="9"/>
      <c r="Q40" s="1"/>
      <c r="R40" s="1"/>
      <c r="S40" s="2"/>
      <c r="T40" s="2"/>
    </row>
    <row r="41" spans="3:20" x14ac:dyDescent="0.25">
      <c r="C41" s="4"/>
      <c r="D41" s="3"/>
      <c r="E41" s="4"/>
      <c r="G41" s="1"/>
      <c r="H41" s="2"/>
      <c r="I41" s="2"/>
      <c r="J41" s="3"/>
      <c r="K41" s="4"/>
      <c r="L41" s="4"/>
      <c r="N41" s="9"/>
      <c r="P41" s="9"/>
      <c r="Q41" s="1"/>
      <c r="R41" s="1"/>
      <c r="S41" s="2"/>
      <c r="T41" s="2"/>
    </row>
    <row r="51" spans="3:20" x14ac:dyDescent="0.25">
      <c r="C51" s="4"/>
      <c r="D51" s="3"/>
      <c r="E51" s="4"/>
      <c r="G51" s="1"/>
      <c r="H51" s="2"/>
      <c r="I51" s="2"/>
      <c r="J51" s="3"/>
      <c r="K51" s="4"/>
      <c r="L51" s="4"/>
      <c r="N51" s="9"/>
      <c r="P51" s="9"/>
      <c r="Q51" s="1"/>
      <c r="R51" s="1"/>
      <c r="S51" s="2"/>
      <c r="T51" s="2"/>
    </row>
    <row r="52" spans="3:20" x14ac:dyDescent="0.25">
      <c r="C52" s="4"/>
      <c r="D52" s="3"/>
      <c r="E52" s="4"/>
      <c r="G52" s="1"/>
      <c r="H52" s="2"/>
      <c r="I52" s="2"/>
      <c r="J52" s="3"/>
      <c r="K52" s="4"/>
      <c r="L52" s="4"/>
      <c r="N52" s="9"/>
      <c r="P52" s="9"/>
      <c r="Q52" s="1"/>
      <c r="R52" s="1"/>
      <c r="S52" s="2"/>
      <c r="T52" s="2"/>
    </row>
    <row r="53" spans="3:20" x14ac:dyDescent="0.25">
      <c r="C53" s="4"/>
      <c r="D53" s="3"/>
      <c r="E53" s="4"/>
      <c r="G53" s="1"/>
      <c r="H53" s="2"/>
      <c r="I53" s="2"/>
      <c r="J53" s="3"/>
      <c r="K53" s="4"/>
      <c r="L53" s="4"/>
      <c r="N53" s="9"/>
      <c r="P53" s="9"/>
      <c r="Q53" s="1"/>
      <c r="R53" s="1"/>
      <c r="S53" s="2"/>
      <c r="T53" s="2"/>
    </row>
    <row r="54" spans="3:20" x14ac:dyDescent="0.25">
      <c r="C54" s="4"/>
      <c r="D54" s="3"/>
      <c r="E54" s="4"/>
      <c r="G54" s="1"/>
      <c r="H54" s="2"/>
      <c r="I54" s="2"/>
      <c r="J54" s="3"/>
      <c r="K54" s="4"/>
      <c r="L54" s="4"/>
      <c r="N54" s="9"/>
      <c r="P54" s="9"/>
      <c r="Q54" s="1"/>
      <c r="R54" s="1"/>
      <c r="S54" s="2"/>
      <c r="T54" s="2"/>
    </row>
    <row r="55" spans="3:20" x14ac:dyDescent="0.25">
      <c r="C55" s="4"/>
      <c r="D55" s="3"/>
      <c r="E55" s="4"/>
      <c r="G55" s="1"/>
      <c r="H55" s="2"/>
      <c r="I55" s="2"/>
      <c r="J55" s="3"/>
      <c r="K55" s="4"/>
      <c r="L55" s="4"/>
      <c r="N55" s="9"/>
      <c r="P55" s="9"/>
      <c r="Q55" s="1"/>
      <c r="R55" s="1"/>
      <c r="S55" s="2"/>
      <c r="T55" s="2"/>
    </row>
    <row r="56" spans="3:20" x14ac:dyDescent="0.25">
      <c r="C56" s="4"/>
      <c r="D56" s="3"/>
      <c r="E56" s="4"/>
      <c r="G56" s="1"/>
      <c r="H56" s="2"/>
      <c r="I56" s="2"/>
      <c r="J56" s="3"/>
      <c r="K56" s="4"/>
      <c r="L56" s="4"/>
      <c r="N56" s="9"/>
      <c r="P56" s="9"/>
      <c r="Q56" s="1"/>
      <c r="R56" s="1"/>
      <c r="S56" s="2"/>
      <c r="T56" s="2"/>
    </row>
    <row r="57" spans="3:20" x14ac:dyDescent="0.25">
      <c r="C57" s="4"/>
      <c r="D57" s="3"/>
      <c r="E57" s="4"/>
      <c r="G57" s="1"/>
      <c r="H57" s="2"/>
      <c r="I57" s="2"/>
      <c r="J57" s="3"/>
      <c r="K57" s="4"/>
      <c r="L57" s="4"/>
      <c r="N57" s="9"/>
      <c r="P57" s="9"/>
      <c r="Q57" s="1"/>
      <c r="R57" s="1"/>
      <c r="S57" s="2"/>
      <c r="T57" s="2"/>
    </row>
    <row r="61" spans="3:20" x14ac:dyDescent="0.25">
      <c r="C61" s="4"/>
      <c r="D61" s="3"/>
      <c r="E61" s="4"/>
      <c r="G61" s="1"/>
      <c r="H61" s="2"/>
      <c r="I61" s="2"/>
      <c r="J61" s="3"/>
      <c r="K61" s="4"/>
      <c r="L61" s="4"/>
      <c r="N61" s="9"/>
      <c r="P61" s="9"/>
      <c r="Q61" s="1"/>
      <c r="R61" s="1"/>
      <c r="S61" s="2"/>
      <c r="T61" s="2"/>
    </row>
    <row r="62" spans="3:20" x14ac:dyDescent="0.25">
      <c r="C62" s="4"/>
      <c r="D62" s="3"/>
      <c r="E62" s="4"/>
      <c r="G62" s="1"/>
      <c r="H62" s="2"/>
      <c r="I62" s="2"/>
      <c r="J62" s="3"/>
      <c r="K62" s="4"/>
      <c r="L62" s="4"/>
      <c r="N62" s="9"/>
      <c r="P62" s="9"/>
      <c r="Q62" s="1"/>
      <c r="R62" s="1"/>
      <c r="S62" s="2"/>
      <c r="T62" s="2"/>
    </row>
    <row r="63" spans="3:20" x14ac:dyDescent="0.25">
      <c r="C63" s="4"/>
      <c r="D63" s="3"/>
      <c r="E63" s="4"/>
      <c r="G63" s="1"/>
      <c r="H63" s="2"/>
      <c r="I63" s="2"/>
      <c r="J63" s="3"/>
      <c r="K63" s="4"/>
      <c r="L63" s="4"/>
      <c r="N63" s="9"/>
      <c r="P63" s="9"/>
      <c r="Q63" s="1"/>
      <c r="R63" s="1"/>
      <c r="S63" s="2"/>
      <c r="T63" s="2"/>
    </row>
    <row r="64" spans="3:20" x14ac:dyDescent="0.25">
      <c r="C64" s="4"/>
      <c r="D64" s="3"/>
      <c r="E64" s="4"/>
      <c r="G64" s="1"/>
      <c r="H64" s="2"/>
      <c r="I64" s="2"/>
      <c r="J64" s="3"/>
      <c r="K64" s="4"/>
      <c r="L64" s="4"/>
      <c r="N64" s="9"/>
      <c r="P64" s="9"/>
      <c r="Q64" s="1"/>
      <c r="R64" s="1"/>
      <c r="S64" s="2"/>
      <c r="T64" s="2"/>
    </row>
    <row r="65" spans="3:22" x14ac:dyDescent="0.25">
      <c r="C65" s="4"/>
      <c r="D65" s="3"/>
      <c r="E65" s="4"/>
      <c r="G65" s="1"/>
      <c r="H65" s="2"/>
      <c r="I65" s="2"/>
      <c r="J65" s="3"/>
      <c r="K65" s="4"/>
      <c r="L65" s="4"/>
      <c r="N65" s="9"/>
      <c r="P65" s="9"/>
      <c r="Q65" s="1"/>
      <c r="R65" s="1"/>
      <c r="S65" s="2"/>
      <c r="T65" s="2"/>
    </row>
    <row r="66" spans="3:22" x14ac:dyDescent="0.25">
      <c r="C66" s="4"/>
      <c r="D66" s="3"/>
      <c r="E66" s="4"/>
      <c r="G66" s="1"/>
      <c r="H66" s="2"/>
      <c r="I66" s="2"/>
      <c r="J66" s="3"/>
      <c r="K66" s="4"/>
      <c r="L66" s="4"/>
      <c r="N66" s="9"/>
      <c r="P66" s="9"/>
      <c r="Q66" s="1"/>
      <c r="R66" s="1"/>
      <c r="S66" s="2"/>
      <c r="T66" s="2"/>
    </row>
    <row r="67" spans="3:22" x14ac:dyDescent="0.25">
      <c r="C67" s="4"/>
      <c r="D67" s="3"/>
      <c r="E67" s="4"/>
      <c r="G67" s="1"/>
      <c r="H67" s="2"/>
      <c r="I67" s="2"/>
      <c r="J67" s="3"/>
      <c r="K67" s="4"/>
      <c r="L67" s="4"/>
      <c r="N67" s="9"/>
      <c r="P67" s="9"/>
      <c r="Q67" s="1"/>
      <c r="R67" s="1"/>
      <c r="S67" s="2"/>
      <c r="T67" s="2"/>
    </row>
    <row r="68" spans="3:22" x14ac:dyDescent="0.25">
      <c r="C68" s="4"/>
      <c r="D68" s="3"/>
      <c r="E68" s="4"/>
      <c r="G68" s="1"/>
      <c r="H68" s="2"/>
      <c r="I68" s="2"/>
      <c r="J68" s="3"/>
      <c r="K68" s="4"/>
      <c r="L68" s="4"/>
      <c r="N68" s="9"/>
      <c r="P68" s="9"/>
      <c r="Q68" s="1"/>
      <c r="R68" s="1"/>
      <c r="S68" s="2"/>
      <c r="T68" s="2"/>
    </row>
    <row r="69" spans="3:22" x14ac:dyDescent="0.25">
      <c r="C69" s="4"/>
      <c r="D69" s="3"/>
      <c r="E69" s="4"/>
      <c r="G69" s="1"/>
      <c r="H69" s="2"/>
      <c r="I69" s="2"/>
      <c r="J69" s="3"/>
      <c r="K69" s="4"/>
      <c r="L69" s="4"/>
      <c r="N69" s="9"/>
      <c r="P69" s="9"/>
      <c r="Q69" s="1"/>
      <c r="R69" s="1"/>
      <c r="S69" s="2"/>
      <c r="T69" s="2"/>
    </row>
    <row r="70" spans="3:22" x14ac:dyDescent="0.25">
      <c r="C70" s="4"/>
      <c r="D70" s="3"/>
      <c r="E70" s="4"/>
      <c r="G70" s="1"/>
      <c r="H70" s="2"/>
      <c r="I70" s="2"/>
      <c r="J70" s="3"/>
      <c r="K70" s="4"/>
      <c r="L70" s="4"/>
      <c r="N70" s="9"/>
      <c r="P70" s="9"/>
      <c r="Q70" s="1"/>
      <c r="R70" s="1"/>
      <c r="S70" s="2"/>
      <c r="T70" s="2"/>
    </row>
    <row r="71" spans="3:22" x14ac:dyDescent="0.25">
      <c r="C71" s="4"/>
      <c r="D71" s="3"/>
      <c r="E71" s="4"/>
      <c r="G71" s="1"/>
      <c r="H71" s="2"/>
      <c r="I71" s="2"/>
      <c r="J71" s="3"/>
      <c r="K71" s="4"/>
      <c r="L71" s="4"/>
      <c r="N71" s="9"/>
      <c r="P71" s="9"/>
      <c r="Q71" s="1"/>
      <c r="R71" s="1"/>
      <c r="S71" s="2"/>
      <c r="T71" s="2"/>
    </row>
    <row r="72" spans="3:22" x14ac:dyDescent="0.25">
      <c r="C72" s="4"/>
      <c r="D72" s="3"/>
      <c r="E72" s="4"/>
      <c r="G72" s="1"/>
      <c r="H72" s="2"/>
      <c r="I72" s="2"/>
      <c r="J72" s="3"/>
      <c r="K72" s="4"/>
      <c r="L72" s="4"/>
      <c r="N72" s="9"/>
      <c r="P72" s="9"/>
      <c r="Q72" s="1"/>
      <c r="R72" s="1"/>
      <c r="S72" s="2"/>
      <c r="T72" s="2"/>
    </row>
    <row r="73" spans="3:22" x14ac:dyDescent="0.25">
      <c r="C73" s="4"/>
      <c r="D73" s="3"/>
      <c r="E73" s="4"/>
      <c r="G73" s="1"/>
      <c r="H73" s="2"/>
      <c r="I73" s="2"/>
      <c r="J73" s="3"/>
      <c r="K73" s="4"/>
      <c r="L73" s="4"/>
      <c r="N73" s="9"/>
      <c r="P73" s="9"/>
      <c r="Q73" s="1"/>
      <c r="R73" s="1"/>
      <c r="S73" s="2"/>
      <c r="T73" s="2"/>
    </row>
    <row r="77" spans="3:22" x14ac:dyDescent="0.25">
      <c r="C77" s="4"/>
      <c r="D77" s="3"/>
      <c r="E77" s="4"/>
      <c r="G77" s="1"/>
      <c r="H77" s="2"/>
      <c r="I77" s="2"/>
      <c r="J77" s="3"/>
      <c r="K77" s="4"/>
      <c r="L77" s="4"/>
      <c r="N77" s="9"/>
      <c r="P77" s="9"/>
      <c r="Q77" s="1"/>
      <c r="R77" s="1"/>
      <c r="S77" s="2"/>
      <c r="T77" s="2"/>
      <c r="V77" s="9"/>
    </row>
    <row r="78" spans="3:22" x14ac:dyDescent="0.25">
      <c r="C78" s="4"/>
      <c r="E78" s="4"/>
      <c r="G78" s="1"/>
      <c r="H78" s="2"/>
      <c r="I78" s="2"/>
      <c r="J78" s="1"/>
      <c r="K78" s="4"/>
      <c r="L78" s="4"/>
      <c r="N78" s="9"/>
      <c r="P78" s="9"/>
      <c r="Q78" s="1"/>
      <c r="R78" s="1"/>
      <c r="S78" s="2"/>
      <c r="T78" s="2"/>
    </row>
    <row r="79" spans="3:22" x14ac:dyDescent="0.25">
      <c r="C79" s="4"/>
      <c r="E79" s="4"/>
      <c r="G79" s="1"/>
      <c r="H79" s="2"/>
      <c r="I79" s="2"/>
      <c r="K79" s="4"/>
      <c r="L79" s="4"/>
      <c r="N79" s="9"/>
      <c r="P79" s="9"/>
      <c r="Q79" s="1"/>
      <c r="R79" s="1"/>
      <c r="S79" s="2"/>
      <c r="T79" s="2"/>
      <c r="V79" s="8"/>
    </row>
    <row r="80" spans="3:22" x14ac:dyDescent="0.25">
      <c r="C80" s="4"/>
      <c r="E80" s="4"/>
      <c r="G80" s="1"/>
      <c r="H80" s="2"/>
      <c r="I80" s="2"/>
      <c r="K80" s="4"/>
      <c r="L80" s="4"/>
      <c r="N80" s="9"/>
      <c r="P80" s="9"/>
      <c r="Q80" s="1"/>
      <c r="R80" s="1"/>
      <c r="S80" s="2"/>
      <c r="T80" s="2"/>
    </row>
    <row r="81" spans="3:20" x14ac:dyDescent="0.25">
      <c r="C81" s="4"/>
      <c r="E81" s="4"/>
      <c r="G81" s="1"/>
      <c r="H81" s="2"/>
      <c r="I81" s="2"/>
      <c r="K81" s="4"/>
      <c r="L81" s="4"/>
      <c r="N81" s="9"/>
      <c r="P81" s="9"/>
      <c r="Q81" s="1"/>
      <c r="R81" s="1"/>
      <c r="S81" s="2"/>
      <c r="T81" s="2"/>
    </row>
    <row r="82" spans="3:20" x14ac:dyDescent="0.25">
      <c r="C82" s="4"/>
      <c r="E82" s="4"/>
      <c r="G82" s="1"/>
      <c r="H82" s="2"/>
      <c r="I82" s="2"/>
      <c r="K82" s="4"/>
      <c r="L82" s="4"/>
      <c r="N82" s="9"/>
      <c r="P82" s="9"/>
      <c r="Q82" s="1"/>
      <c r="R82" s="1"/>
      <c r="S82" s="2"/>
      <c r="T82" s="2"/>
    </row>
    <row r="83" spans="3:20" x14ac:dyDescent="0.25">
      <c r="C83" s="4"/>
      <c r="E83" s="4"/>
      <c r="G83" s="1"/>
      <c r="H83" s="2"/>
      <c r="I83" s="2"/>
      <c r="K83" s="4"/>
      <c r="L83" s="4"/>
      <c r="N83" s="9"/>
      <c r="P83" s="9"/>
      <c r="Q83" s="1"/>
      <c r="R83" s="1"/>
      <c r="S83" s="2"/>
      <c r="T83" s="2"/>
    </row>
    <row r="84" spans="3:20" x14ac:dyDescent="0.25">
      <c r="C84" s="4"/>
      <c r="E84" s="4"/>
      <c r="G84" s="1"/>
      <c r="H84" s="2"/>
      <c r="I84" s="2"/>
      <c r="K84" s="4"/>
      <c r="L84" s="4"/>
      <c r="N84" s="9"/>
      <c r="P84" s="9"/>
      <c r="Q84" s="1"/>
      <c r="R84" s="1"/>
      <c r="S84" s="2"/>
      <c r="T84" s="2"/>
    </row>
    <row r="85" spans="3:20" x14ac:dyDescent="0.25">
      <c r="C85" s="4"/>
      <c r="E85" s="4"/>
      <c r="G85" s="1"/>
      <c r="H85" s="2"/>
      <c r="I85" s="2"/>
      <c r="K85" s="4"/>
      <c r="L85" s="4"/>
      <c r="N85" s="9"/>
      <c r="P85" s="9"/>
      <c r="Q85" s="1"/>
      <c r="R85" s="1"/>
      <c r="S85" s="2"/>
      <c r="T8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B9DBD-E13B-4C0F-A76C-495035194695}">
  <dimension ref="A1:N7"/>
  <sheetViews>
    <sheetView workbookViewId="0">
      <selection activeCell="M3" sqref="M3"/>
    </sheetView>
  </sheetViews>
  <sheetFormatPr defaultRowHeight="15" x14ac:dyDescent="0.25"/>
  <cols>
    <col min="1" max="1" width="5.85546875" bestFit="1" customWidth="1"/>
    <col min="2" max="2" width="6.140625" bestFit="1" customWidth="1"/>
    <col min="3" max="3" width="6.7109375" bestFit="1" customWidth="1"/>
    <col min="4" max="5" width="6" bestFit="1" customWidth="1"/>
    <col min="6" max="6" width="5" bestFit="1" customWidth="1"/>
    <col min="7" max="7" width="19.28515625" bestFit="1" customWidth="1"/>
    <col min="9" max="9" width="12.42578125" bestFit="1" customWidth="1"/>
    <col min="10" max="10" width="9.42578125" customWidth="1"/>
  </cols>
  <sheetData>
    <row r="1" spans="1:14" x14ac:dyDescent="0.25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32</v>
      </c>
      <c r="G1" t="s">
        <v>13</v>
      </c>
      <c r="I1" t="s">
        <v>42</v>
      </c>
      <c r="J1" t="s">
        <v>9</v>
      </c>
      <c r="K1" s="12">
        <v>5.6720000000000002E-4</v>
      </c>
      <c r="L1" s="12">
        <v>6.3279999999999999E-4</v>
      </c>
      <c r="M1">
        <v>0.75</v>
      </c>
      <c r="N1" s="2">
        <f>PI()/4</f>
        <v>0.78539816339744828</v>
      </c>
    </row>
    <row r="2" spans="1:14" x14ac:dyDescent="0.25">
      <c r="A2">
        <v>-40</v>
      </c>
      <c r="B2">
        <v>-27</v>
      </c>
      <c r="C2">
        <v>-33</v>
      </c>
      <c r="D2">
        <f>RADIANS(B2)</f>
        <v>-0.47123889803846897</v>
      </c>
      <c r="E2">
        <f>RADIANS(C2)</f>
        <v>-0.57595865315812877</v>
      </c>
      <c r="F2">
        <f>9*25.4</f>
        <v>228.6</v>
      </c>
      <c r="G2">
        <f>1000*((2*Delta*Lambda^2*(TAN(D2)-TAN(E2)))/(t*PI()^2*F2*SIN(2*a)))^(1/4)</f>
        <v>0.44020609439860348</v>
      </c>
      <c r="I2">
        <f>(B2-C2)/F2</f>
        <v>2.6246719160104987E-2</v>
      </c>
      <c r="J2">
        <f>TAN(G2)</f>
        <v>0.47103232369916664</v>
      </c>
      <c r="M2" t="s">
        <v>33</v>
      </c>
    </row>
    <row r="3" spans="1:14" x14ac:dyDescent="0.25">
      <c r="A3">
        <v>-20</v>
      </c>
      <c r="B3">
        <v>-13</v>
      </c>
      <c r="C3">
        <v>-17</v>
      </c>
      <c r="D3">
        <f t="shared" ref="D3:D6" si="0">RADIANS(B3)</f>
        <v>-0.22689280275926285</v>
      </c>
      <c r="E3">
        <f t="shared" ref="E3:E6" si="1">RADIANS(C3)</f>
        <v>-0.29670597283903605</v>
      </c>
      <c r="F3">
        <f t="shared" ref="F3:F6" si="2">9*25.4</f>
        <v>228.6</v>
      </c>
      <c r="G3">
        <f>1000*((2*Delta*Lambda^2*(TAN(D3)-TAN(E3)))/(t*PI()^2*F3*SIN(2*a)))^(1/4)</f>
        <v>0.37651436342529421</v>
      </c>
      <c r="I3">
        <f t="shared" ref="I3:I6" si="3">(B3-C3)/F3</f>
        <v>1.7497812773403325E-2</v>
      </c>
      <c r="J3">
        <f t="shared" ref="J3:J6" si="4">TAN(G3)</f>
        <v>0.39537662219830794</v>
      </c>
    </row>
    <row r="4" spans="1:14" x14ac:dyDescent="0.25">
      <c r="A4">
        <v>0</v>
      </c>
      <c r="B4">
        <v>7</v>
      </c>
      <c r="C4">
        <v>3</v>
      </c>
      <c r="D4">
        <f t="shared" si="0"/>
        <v>0.12217304763960307</v>
      </c>
      <c r="E4">
        <f t="shared" si="1"/>
        <v>5.235987755982989E-2</v>
      </c>
      <c r="F4">
        <f t="shared" si="2"/>
        <v>228.6</v>
      </c>
      <c r="G4">
        <f>1000*((2*Delta*Lambda^2*(TAN(D4)-TAN(E4)))/(t*PI()^2*F4*SIN(2*a)))^(1/4)</f>
        <v>0.37074289049357595</v>
      </c>
      <c r="I4">
        <f t="shared" si="3"/>
        <v>1.7497812773403325E-2</v>
      </c>
      <c r="J4">
        <f t="shared" si="4"/>
        <v>0.3887180574716434</v>
      </c>
    </row>
    <row r="5" spans="1:14" x14ac:dyDescent="0.25">
      <c r="A5">
        <v>20</v>
      </c>
      <c r="B5">
        <v>27</v>
      </c>
      <c r="C5">
        <v>21</v>
      </c>
      <c r="D5">
        <f t="shared" si="0"/>
        <v>0.47123889803846897</v>
      </c>
      <c r="E5">
        <f t="shared" si="1"/>
        <v>0.36651914291880922</v>
      </c>
      <c r="F5">
        <f t="shared" si="2"/>
        <v>228.6</v>
      </c>
      <c r="G5">
        <f>1000*((2*Delta*Lambda^2*(TAN(D5)-TAN(E5)))/(t*PI()^2*F5*SIN(2*a)))^(1/4)</f>
        <v>0.42856427639861244</v>
      </c>
      <c r="I5">
        <f t="shared" si="3"/>
        <v>2.6246719160104987E-2</v>
      </c>
      <c r="J5">
        <f t="shared" si="4"/>
        <v>0.45688446173392327</v>
      </c>
    </row>
    <row r="6" spans="1:14" x14ac:dyDescent="0.25">
      <c r="A6">
        <v>40</v>
      </c>
      <c r="B6">
        <v>53</v>
      </c>
      <c r="C6">
        <v>41</v>
      </c>
      <c r="D6">
        <f t="shared" si="0"/>
        <v>0.92502450355699462</v>
      </c>
      <c r="E6">
        <f t="shared" si="1"/>
        <v>0.71558499331767511</v>
      </c>
      <c r="F6">
        <f t="shared" si="2"/>
        <v>228.6</v>
      </c>
      <c r="G6">
        <f>1000*((2*Delta*Lambda^2*(TAN(D6)-TAN(E6)))/(t*PI()^2*F6*SIN(2*a)))^(1/4)</f>
        <v>0.5920719502487416</v>
      </c>
      <c r="I6">
        <f t="shared" si="3"/>
        <v>5.2493438320209973E-2</v>
      </c>
      <c r="J6">
        <f t="shared" si="4"/>
        <v>0.67256063416708201</v>
      </c>
    </row>
    <row r="7" spans="1:14" x14ac:dyDescent="0.25">
      <c r="B7" t="s">
        <v>46</v>
      </c>
      <c r="C7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AF452-92C7-4A2E-968B-54D429D130F6}">
  <sheetPr codeName="Sheet2"/>
  <dimension ref="A1:BO22"/>
  <sheetViews>
    <sheetView workbookViewId="0">
      <selection activeCell="C2" sqref="C2"/>
    </sheetView>
  </sheetViews>
  <sheetFormatPr defaultRowHeight="15" x14ac:dyDescent="0.25"/>
  <cols>
    <col min="1" max="1" width="6.28515625" bestFit="1" customWidth="1"/>
    <col min="2" max="2" width="20.28515625" bestFit="1" customWidth="1"/>
    <col min="3" max="3" width="20.5703125" bestFit="1" customWidth="1"/>
    <col min="4" max="4" width="10.28515625" bestFit="1" customWidth="1"/>
    <col min="5" max="5" width="8" bestFit="1" customWidth="1"/>
    <col min="6" max="7" width="8.42578125" bestFit="1" customWidth="1"/>
    <col min="8" max="8" width="20.28515625" bestFit="1" customWidth="1"/>
    <col min="9" max="9" width="18.85546875" bestFit="1" customWidth="1"/>
    <col min="10" max="10" width="18.85546875" customWidth="1"/>
    <col min="11" max="11" width="18.85546875" bestFit="1" customWidth="1"/>
    <col min="12" max="14" width="18.85546875" customWidth="1"/>
    <col min="15" max="15" width="16.85546875" bestFit="1" customWidth="1"/>
    <col min="16" max="16" width="16.85546875" customWidth="1"/>
    <col min="17" max="17" width="18" bestFit="1" customWidth="1"/>
    <col min="18" max="18" width="18" customWidth="1"/>
    <col min="19" max="19" width="18" bestFit="1" customWidth="1"/>
    <col min="20" max="20" width="18" customWidth="1"/>
    <col min="21" max="21" width="18" bestFit="1" customWidth="1"/>
    <col min="22" max="22" width="18" customWidth="1"/>
    <col min="23" max="23" width="18" bestFit="1" customWidth="1"/>
    <col min="24" max="29" width="18" customWidth="1"/>
    <col min="30" max="30" width="14.140625" bestFit="1" customWidth="1"/>
    <col min="31" max="31" width="15.42578125" bestFit="1" customWidth="1"/>
    <col min="32" max="33" width="15.42578125" customWidth="1"/>
    <col min="34" max="34" width="14.140625" bestFit="1" customWidth="1"/>
    <col min="35" max="35" width="15.42578125" bestFit="1" customWidth="1"/>
    <col min="36" max="37" width="15.42578125" customWidth="1"/>
    <col min="38" max="38" width="14.140625" bestFit="1" customWidth="1"/>
    <col min="39" max="39" width="15.42578125" bestFit="1" customWidth="1"/>
    <col min="40" max="41" width="15.42578125" customWidth="1"/>
    <col min="42" max="42" width="14.140625" customWidth="1"/>
    <col min="43" max="43" width="15.42578125" bestFit="1" customWidth="1"/>
    <col min="44" max="45" width="15.42578125" customWidth="1"/>
    <col min="46" max="46" width="12.140625" bestFit="1" customWidth="1"/>
    <col min="47" max="47" width="13.5703125" bestFit="1" customWidth="1"/>
    <col min="48" max="49" width="13.5703125" customWidth="1"/>
    <col min="50" max="50" width="13.28515625" bestFit="1" customWidth="1"/>
    <col min="51" max="51" width="14.5703125" bestFit="1" customWidth="1"/>
    <col min="52" max="53" width="14.5703125" customWidth="1"/>
    <col min="54" max="54" width="13.28515625" bestFit="1" customWidth="1"/>
    <col min="55" max="55" width="14.5703125" bestFit="1" customWidth="1"/>
    <col min="56" max="57" width="14.5703125" customWidth="1"/>
    <col min="58" max="58" width="13.28515625" bestFit="1" customWidth="1"/>
    <col min="59" max="59" width="14.5703125" bestFit="1" customWidth="1"/>
    <col min="60" max="61" width="14.5703125" customWidth="1"/>
    <col min="62" max="62" width="13.28515625" bestFit="1" customWidth="1"/>
    <col min="63" max="63" width="14.5703125" bestFit="1" customWidth="1"/>
    <col min="64" max="64" width="13.28515625" bestFit="1" customWidth="1"/>
    <col min="65" max="65" width="14.5703125" bestFit="1" customWidth="1"/>
    <col min="66" max="66" width="13.28515625" bestFit="1" customWidth="1"/>
    <col min="67" max="67" width="14.5703125" bestFit="1" customWidth="1"/>
  </cols>
  <sheetData>
    <row r="1" spans="1:67" x14ac:dyDescent="0.25">
      <c r="A1" t="s">
        <v>0</v>
      </c>
      <c r="B1" t="s">
        <v>41</v>
      </c>
      <c r="C1" t="s">
        <v>27</v>
      </c>
      <c r="D1" t="s">
        <v>39</v>
      </c>
      <c r="E1" t="s">
        <v>20</v>
      </c>
      <c r="F1" t="s">
        <v>40</v>
      </c>
      <c r="G1" t="s">
        <v>43</v>
      </c>
      <c r="H1" t="s">
        <v>34</v>
      </c>
      <c r="I1" t="s">
        <v>8</v>
      </c>
      <c r="J1" t="s">
        <v>14</v>
      </c>
      <c r="K1" t="s">
        <v>21</v>
      </c>
      <c r="L1" t="s">
        <v>15</v>
      </c>
      <c r="M1" t="s">
        <v>22</v>
      </c>
      <c r="N1" t="s">
        <v>16</v>
      </c>
      <c r="O1" t="s">
        <v>23</v>
      </c>
      <c r="P1" t="s">
        <v>17</v>
      </c>
      <c r="Q1" t="s">
        <v>24</v>
      </c>
      <c r="R1" t="s">
        <v>18</v>
      </c>
      <c r="S1" t="s">
        <v>25</v>
      </c>
    </row>
    <row r="2" spans="1:67" x14ac:dyDescent="0.25">
      <c r="A2" s="7">
        <v>-40</v>
      </c>
      <c r="B2" s="2">
        <f>Method1!$T$2</f>
        <v>-4.6207278175216597</v>
      </c>
      <c r="C2" s="6">
        <f>Method1!$U$2</f>
        <v>4.131822259694145E-15</v>
      </c>
      <c r="D2" s="1">
        <f>Method1!$Q$2</f>
        <v>-4.6207607037157981E-3</v>
      </c>
      <c r="E2" s="2">
        <f>Method1!$S$2</f>
        <v>7.1550850999715152</v>
      </c>
      <c r="F2" s="6">
        <f>Method2!J2</f>
        <v>0.47103232369916664</v>
      </c>
      <c r="G2" s="2">
        <f>Method2!I2</f>
        <v>2.6246719160104987E-2</v>
      </c>
      <c r="H2" s="2">
        <f>Method2!G2</f>
        <v>0.44020609439860348</v>
      </c>
      <c r="I2" s="7">
        <f>Method1!$K$2</f>
        <v>438</v>
      </c>
      <c r="J2" s="2">
        <f>Method1!$H$2</f>
        <v>5.1120860466692069</v>
      </c>
      <c r="K2" s="10">
        <f>Method1!$I$2</f>
        <v>0.55511084710664282</v>
      </c>
      <c r="L2" s="2">
        <f>Method1!$H$5</f>
        <v>6.0198863162005223</v>
      </c>
      <c r="M2" s="10">
        <f>Method1!$I$5</f>
        <v>0.62714402675768022</v>
      </c>
      <c r="N2" s="2">
        <f>Method1!$H$8</f>
        <v>7.6099589241254897</v>
      </c>
      <c r="O2" s="10">
        <f>Method1!$I$8</f>
        <v>0.7910432325615111</v>
      </c>
      <c r="P2" s="2">
        <f>Method1!$H$11</f>
        <v>9.6180617293773345</v>
      </c>
      <c r="Q2" s="10">
        <f>Method1!$I$11</f>
        <v>0.95798147544230527</v>
      </c>
      <c r="R2" s="3">
        <f>Method1!$H$14</f>
        <v>14.592764169037181</v>
      </c>
      <c r="S2" s="2">
        <f>Method1!$I$14</f>
        <v>1.275956095523334</v>
      </c>
      <c r="U2" s="7"/>
      <c r="V2" s="7"/>
      <c r="X2" s="7"/>
      <c r="Y2" s="7"/>
      <c r="Z2" s="2"/>
      <c r="AA2" s="10"/>
      <c r="AB2" s="2"/>
      <c r="AC2" s="10"/>
      <c r="AN2" s="2"/>
      <c r="AO2" s="10"/>
      <c r="AP2" s="10"/>
      <c r="AQ2" s="10"/>
      <c r="AR2" s="10"/>
      <c r="AS2" s="10"/>
      <c r="AZ2" s="2"/>
      <c r="BA2" s="10"/>
      <c r="BF2" s="3"/>
      <c r="BG2" s="2"/>
      <c r="BH2" s="3"/>
      <c r="BI2" s="2"/>
      <c r="BL2" s="3"/>
      <c r="BM2" s="2"/>
      <c r="BN2" s="3"/>
      <c r="BO2" s="2"/>
    </row>
    <row r="3" spans="1:67" x14ac:dyDescent="0.25">
      <c r="A3">
        <v>-20</v>
      </c>
      <c r="B3" s="2">
        <f>Method1!$T$5</f>
        <v>-3.1115987449372251</v>
      </c>
      <c r="C3" s="11">
        <f>Method1!$U$5</f>
        <v>4.131822259694145E-15</v>
      </c>
      <c r="D3" s="1">
        <f>Method1!$Q$5</f>
        <v>-3.1116087871909549E-3</v>
      </c>
      <c r="E3" s="2">
        <f>Method1!$S$5</f>
        <v>7.3200029370171267</v>
      </c>
      <c r="F3" s="6">
        <f>Method2!$J$2</f>
        <v>0.47103232369916664</v>
      </c>
      <c r="G3" s="2">
        <f>Method2!I3</f>
        <v>1.7497812773403325E-2</v>
      </c>
      <c r="H3" s="2">
        <f>Method2!G3</f>
        <v>0.37651436342529421</v>
      </c>
      <c r="I3" s="7">
        <f>Method1!$K$3</f>
        <v>286</v>
      </c>
      <c r="J3" s="2">
        <f>Method1!$H$3</f>
        <v>5.871759268858372</v>
      </c>
      <c r="K3" s="10">
        <f>Method1!$I$3</f>
        <v>0.59647648003566278</v>
      </c>
      <c r="L3" s="2">
        <f>Method1!$H$6</f>
        <v>6.3045467679344336</v>
      </c>
      <c r="M3" s="10">
        <f>Method1!$I$6</f>
        <v>0.63385737320091762</v>
      </c>
      <c r="N3" s="2">
        <f>Method1!$H$9</f>
        <v>7.7925418040128687</v>
      </c>
      <c r="O3" s="10">
        <f>Method1!$I$9</f>
        <v>0.77078966567187535</v>
      </c>
      <c r="P3" s="2">
        <f>Method1!$H$12</f>
        <v>8.9050335300860368</v>
      </c>
      <c r="Q3" s="10">
        <f>Method1!$I$12</f>
        <v>0.8889947759435316</v>
      </c>
      <c r="R3" s="3">
        <f>Method1!$H$15</f>
        <v>12.380669728805573</v>
      </c>
      <c r="S3" s="2">
        <f>Method1!$I$15</f>
        <v>1.2390867483968058</v>
      </c>
      <c r="U3" s="7"/>
      <c r="V3" s="7"/>
      <c r="X3" s="7"/>
      <c r="Y3" s="7"/>
      <c r="Z3" s="2"/>
      <c r="AA3" s="10"/>
      <c r="AB3" s="2"/>
      <c r="AC3" s="10"/>
      <c r="AN3" s="2"/>
      <c r="AO3" s="10"/>
      <c r="AP3" s="10"/>
      <c r="AQ3" s="10"/>
      <c r="AR3" s="10"/>
      <c r="AS3" s="10"/>
      <c r="AZ3" s="2"/>
      <c r="BA3" s="10"/>
      <c r="BF3" s="3"/>
      <c r="BG3" s="2"/>
      <c r="BH3" s="3"/>
      <c r="BI3" s="2"/>
      <c r="BL3" s="3"/>
      <c r="BM3" s="2"/>
      <c r="BN3" s="3"/>
      <c r="BO3" s="2"/>
    </row>
    <row r="4" spans="1:67" x14ac:dyDescent="0.25">
      <c r="A4">
        <v>0</v>
      </c>
      <c r="B4" s="10">
        <f>Method1!$T$8</f>
        <v>-0.78254913382588598</v>
      </c>
      <c r="C4" s="11">
        <f>Method1!$U$8</f>
        <v>1.2395466779082435E-14</v>
      </c>
      <c r="D4" s="5">
        <f>Method1!$Q$8</f>
        <v>-7.825492935658922E-4</v>
      </c>
      <c r="E4" s="2">
        <f>Method1!$S$8</f>
        <v>7.9739273104624715</v>
      </c>
      <c r="F4" s="6">
        <f>Method2!$J$2</f>
        <v>0.47103232369916664</v>
      </c>
      <c r="G4" s="2">
        <f>Method2!I4</f>
        <v>1.7497812773403325E-2</v>
      </c>
      <c r="H4" s="2">
        <f>Method2!G4</f>
        <v>0.37074289049357595</v>
      </c>
      <c r="I4" s="7">
        <f>Method1!$K$4</f>
        <v>134</v>
      </c>
      <c r="J4" s="2">
        <f>Method1!$H$4</f>
        <v>6.5167973005988111</v>
      </c>
      <c r="K4" s="10">
        <f>Method1!$I$4</f>
        <v>0.62816982917888453</v>
      </c>
      <c r="L4" s="2">
        <f>Method1!$H$7</f>
        <v>6.965815387506586</v>
      </c>
      <c r="M4" s="10">
        <f>Method1!$I$7</f>
        <v>0.68399534920443972</v>
      </c>
      <c r="N4" s="2">
        <f>Method1!$H$10</f>
        <v>7.8478539093695234</v>
      </c>
      <c r="O4" s="10">
        <f>Method1!$I$10</f>
        <v>0.76422491077389088</v>
      </c>
      <c r="P4" s="2">
        <f>Method1!$H$13</f>
        <v>8.3394925382307186</v>
      </c>
      <c r="Q4" s="10">
        <f>Method1!$I$13</f>
        <v>0.84623871692149411</v>
      </c>
      <c r="R4" s="3">
        <f>Method1!$H$16</f>
        <v>9.8199036303470688</v>
      </c>
      <c r="S4" s="2">
        <f>Method1!$I$16</f>
        <v>1.0080291453105821</v>
      </c>
      <c r="U4" s="7"/>
      <c r="V4" s="7"/>
      <c r="X4" s="7"/>
      <c r="Y4" s="7"/>
      <c r="Z4" s="2"/>
      <c r="AA4" s="10"/>
      <c r="AB4" s="2"/>
      <c r="AC4" s="10"/>
      <c r="AN4" s="2"/>
      <c r="AO4" s="10"/>
      <c r="AP4" s="10"/>
      <c r="AQ4" s="10"/>
      <c r="AR4" s="10"/>
      <c r="AS4" s="10"/>
      <c r="AZ4" s="2"/>
      <c r="BA4" s="10"/>
      <c r="BF4" s="3"/>
      <c r="BG4" s="10"/>
      <c r="BH4" s="3"/>
      <c r="BI4" s="10"/>
      <c r="BL4" s="3"/>
      <c r="BM4" s="2"/>
      <c r="BN4" s="3"/>
      <c r="BO4" s="2"/>
    </row>
    <row r="5" spans="1:67" x14ac:dyDescent="0.25">
      <c r="A5">
        <v>20</v>
      </c>
      <c r="B5" s="2">
        <f>Method1!$T$11</f>
        <v>4.2057949091803941</v>
      </c>
      <c r="C5" s="5">
        <f>Method1!$U$11</f>
        <v>3.7186400337247303E-14</v>
      </c>
      <c r="D5" s="1">
        <f>Method1!$Q$11</f>
        <v>4.2058197077191588E-3</v>
      </c>
      <c r="E5" s="2">
        <f>Method1!$S$11</f>
        <v>7.7513314961570146</v>
      </c>
      <c r="F5" s="6">
        <f>Method2!$J$2</f>
        <v>0.47103232369916664</v>
      </c>
      <c r="G5" s="2">
        <f>Method2!I5</f>
        <v>2.6246719160104987E-2</v>
      </c>
      <c r="H5" s="2">
        <f>Method2!G5</f>
        <v>0.42856427639861244</v>
      </c>
      <c r="I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2"/>
      <c r="AA5" s="10"/>
      <c r="AB5" s="2"/>
      <c r="AC5" s="10"/>
      <c r="AD5" s="2"/>
      <c r="AE5" s="10"/>
      <c r="AF5" s="2"/>
      <c r="AG5" s="10"/>
      <c r="AH5" s="2"/>
      <c r="AI5" s="10"/>
      <c r="AJ5" s="2"/>
      <c r="AK5" s="10"/>
      <c r="AL5" s="2"/>
      <c r="AM5" s="10"/>
      <c r="AN5" s="2"/>
      <c r="AO5" s="10"/>
      <c r="AP5" s="10"/>
      <c r="AQ5" s="10"/>
      <c r="AR5" s="10"/>
      <c r="AS5" s="10"/>
      <c r="AT5" s="2"/>
      <c r="AU5" s="10"/>
      <c r="AV5" s="2"/>
      <c r="AW5" s="10"/>
      <c r="AX5" s="2"/>
      <c r="AY5" s="10"/>
      <c r="AZ5" s="2"/>
      <c r="BA5" s="10"/>
      <c r="BB5" s="2"/>
      <c r="BC5" s="10"/>
      <c r="BD5" s="2"/>
      <c r="BE5" s="10"/>
      <c r="BF5" s="3"/>
      <c r="BG5" s="10"/>
      <c r="BH5" s="3"/>
      <c r="BI5" s="10"/>
      <c r="BJ5" s="3"/>
      <c r="BK5" s="10"/>
      <c r="BL5" s="3"/>
      <c r="BM5" s="10"/>
      <c r="BN5" s="3"/>
      <c r="BO5" s="10"/>
    </row>
    <row r="6" spans="1:67" x14ac:dyDescent="0.25">
      <c r="A6" s="7">
        <v>40</v>
      </c>
      <c r="B6" s="3">
        <f>Method1!$T$14</f>
        <v>15.698909317764441</v>
      </c>
      <c r="C6" s="6">
        <f>Method1!$U$14</f>
        <v>1.3221831231021264E-13</v>
      </c>
      <c r="D6" s="6">
        <f>Method1!$Q$14</f>
        <v>1.5700199140428021E-2</v>
      </c>
      <c r="E6" s="2">
        <f>Method1!$S$14</f>
        <v>7.7741888885675365</v>
      </c>
      <c r="F6" s="6">
        <f>Method2!$J$2</f>
        <v>0.47103232369916664</v>
      </c>
      <c r="G6" s="2">
        <f>Method2!I6</f>
        <v>5.2493438320209973E-2</v>
      </c>
      <c r="H6" s="2">
        <f>Method2!G6</f>
        <v>0.5920719502487416</v>
      </c>
      <c r="I6" s="2"/>
      <c r="AH6" s="2"/>
    </row>
    <row r="7" spans="1:67" x14ac:dyDescent="0.25">
      <c r="I7" s="2"/>
    </row>
    <row r="8" spans="1:67" x14ac:dyDescent="0.25">
      <c r="I8" s="2"/>
    </row>
    <row r="9" spans="1:67" x14ac:dyDescent="0.25">
      <c r="I9" s="2"/>
    </row>
    <row r="10" spans="1:67" x14ac:dyDescent="0.25">
      <c r="I10" s="2"/>
    </row>
    <row r="11" spans="1:67" x14ac:dyDescent="0.25">
      <c r="I11" s="2"/>
    </row>
    <row r="12" spans="1:67" x14ac:dyDescent="0.25">
      <c r="I12" s="2"/>
    </row>
    <row r="13" spans="1:67" x14ac:dyDescent="0.25">
      <c r="I13" s="2"/>
    </row>
    <row r="14" spans="1:67" x14ac:dyDescent="0.25">
      <c r="I14" s="2"/>
    </row>
    <row r="15" spans="1:67" x14ac:dyDescent="0.25">
      <c r="B15" s="2"/>
      <c r="C15" s="5"/>
      <c r="D15" s="1"/>
      <c r="E15" s="2"/>
      <c r="F15" s="2"/>
      <c r="G15" s="2"/>
      <c r="H15" s="2" t="s">
        <v>47</v>
      </c>
      <c r="I15" s="2"/>
    </row>
    <row r="16" spans="1:67" x14ac:dyDescent="0.25">
      <c r="I16" s="2"/>
    </row>
    <row r="17" spans="1:9" x14ac:dyDescent="0.25">
      <c r="I17" s="2"/>
    </row>
    <row r="18" spans="1:9" x14ac:dyDescent="0.25">
      <c r="A18" s="7"/>
      <c r="B18" s="3"/>
      <c r="C18" s="6"/>
      <c r="D18" s="6"/>
      <c r="E18" s="2"/>
      <c r="F18" s="2"/>
      <c r="G18" s="2"/>
      <c r="H18" s="2"/>
      <c r="I18" s="2"/>
    </row>
    <row r="19" spans="1:9" x14ac:dyDescent="0.25">
      <c r="A19" s="7"/>
      <c r="B19" s="3"/>
      <c r="C19" s="6"/>
      <c r="D19" s="6"/>
      <c r="E19" s="2"/>
      <c r="F19" s="2"/>
      <c r="G19" s="2"/>
      <c r="H19" s="2"/>
      <c r="I19" s="2"/>
    </row>
    <row r="20" spans="1:9" x14ac:dyDescent="0.25">
      <c r="I20" s="2"/>
    </row>
    <row r="21" spans="1:9" x14ac:dyDescent="0.25">
      <c r="I21" s="2"/>
    </row>
    <row r="22" spans="1:9" x14ac:dyDescent="0.25">
      <c r="I22" s="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Method1</vt:lpstr>
      <vt:lpstr>Method2</vt:lpstr>
      <vt:lpstr>Data3</vt:lpstr>
      <vt:lpstr>a</vt:lpstr>
      <vt:lpstr>Delta</vt:lpstr>
      <vt:lpstr>Lambda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S.</dc:creator>
  <cp:lastModifiedBy>Aidan S.</cp:lastModifiedBy>
  <dcterms:created xsi:type="dcterms:W3CDTF">2025-02-28T01:22:48Z</dcterms:created>
  <dcterms:modified xsi:type="dcterms:W3CDTF">2025-11-05T01:22:55Z</dcterms:modified>
</cp:coreProperties>
</file>