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Shearing Interferometer Project\Improved Setup\"/>
    </mc:Choice>
  </mc:AlternateContent>
  <xr:revisionPtr revIDLastSave="0" documentId="13_ncr:1_{33DE22B5-A4EF-45C6-A1FC-3F41F646E393}" xr6:coauthVersionLast="47" xr6:coauthVersionMax="47" xr10:uidLastSave="{00000000-0000-0000-0000-000000000000}"/>
  <bookViews>
    <workbookView xWindow="-90" yWindow="-90" windowWidth="19380" windowHeight="10980" xr2:uid="{4B4234B7-F5C0-4300-8429-8E85664CE7AC}"/>
  </bookViews>
  <sheets>
    <sheet name="Method1" sheetId="1" r:id="rId1"/>
    <sheet name="Method2" sheetId="3" r:id="rId2"/>
    <sheet name="Data4" sheetId="2" r:id="rId3"/>
  </sheets>
  <definedNames>
    <definedName name="a">Method2!$O$2</definedName>
    <definedName name="Delta">Method2!$L$2</definedName>
    <definedName name="Lambda">Method2!$N$2</definedName>
    <definedName name="t">Method2!$N$2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9" i="2"/>
  <c r="E8" i="2"/>
  <c r="E7" i="2"/>
  <c r="E6" i="2"/>
  <c r="E5" i="2"/>
  <c r="E4" i="2"/>
  <c r="AA4" i="2"/>
  <c r="AA3" i="2"/>
  <c r="AA2" i="2"/>
  <c r="Z4" i="2"/>
  <c r="Z3" i="2"/>
  <c r="Z2" i="2"/>
  <c r="W4" i="2"/>
  <c r="W3" i="2"/>
  <c r="W2" i="2"/>
  <c r="V4" i="2"/>
  <c r="V3" i="2"/>
  <c r="V2" i="2"/>
  <c r="S4" i="2"/>
  <c r="S3" i="2"/>
  <c r="S2" i="2"/>
  <c r="R4" i="2"/>
  <c r="R3" i="2"/>
  <c r="R2" i="2"/>
  <c r="J6" i="2"/>
  <c r="J5" i="2"/>
  <c r="J4" i="2"/>
  <c r="J3" i="2"/>
  <c r="J2" i="2"/>
  <c r="I6" i="2"/>
  <c r="I5" i="2"/>
  <c r="I4" i="2"/>
  <c r="I3" i="2"/>
  <c r="I2" i="2"/>
  <c r="H2" i="2"/>
  <c r="G9" i="2"/>
  <c r="G7" i="2"/>
  <c r="G5" i="2"/>
  <c r="F9" i="2"/>
  <c r="F7" i="2"/>
  <c r="F5" i="2"/>
  <c r="D9" i="2"/>
  <c r="D7" i="2"/>
  <c r="D5" i="2"/>
  <c r="C9" i="2"/>
  <c r="C7" i="2"/>
  <c r="C5" i="2"/>
  <c r="B9" i="2"/>
  <c r="B7" i="2"/>
  <c r="B5" i="2"/>
  <c r="N26" i="1"/>
  <c r="N23" i="1"/>
  <c r="P23" i="1" s="1"/>
  <c r="N17" i="1"/>
  <c r="R17" i="1" s="1"/>
  <c r="T11" i="1"/>
  <c r="Q11" i="1"/>
  <c r="O11" i="1"/>
  <c r="N11" i="1"/>
  <c r="P11" i="1" s="1"/>
  <c r="N5" i="1"/>
  <c r="N2" i="1"/>
  <c r="D27" i="1"/>
  <c r="G27" i="1" s="1"/>
  <c r="H27" i="1" s="1"/>
  <c r="D21" i="1"/>
  <c r="D1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G11" i="1"/>
  <c r="L11" i="1" s="1"/>
  <c r="G17" i="1"/>
  <c r="L17" i="1" s="1"/>
  <c r="G21" i="1"/>
  <c r="H21" i="1" s="1"/>
  <c r="G25" i="1"/>
  <c r="L25" i="1" s="1"/>
  <c r="G26" i="1"/>
  <c r="L26" i="1" s="1"/>
  <c r="F3" i="1"/>
  <c r="F4" i="1"/>
  <c r="F5" i="1"/>
  <c r="F6" i="1"/>
  <c r="F7" i="1"/>
  <c r="F8" i="1"/>
  <c r="F9" i="1"/>
  <c r="G9" i="1" s="1"/>
  <c r="L9" i="1" s="1"/>
  <c r="F10" i="1"/>
  <c r="F11" i="1"/>
  <c r="F12" i="1"/>
  <c r="G12" i="1" s="1"/>
  <c r="H12" i="1" s="1"/>
  <c r="F13" i="1"/>
  <c r="F14" i="1"/>
  <c r="F15" i="1"/>
  <c r="F16" i="1"/>
  <c r="G16" i="1" s="1"/>
  <c r="L16" i="1" s="1"/>
  <c r="F17" i="1"/>
  <c r="F18" i="1"/>
  <c r="G18" i="1" s="1"/>
  <c r="L18" i="1" s="1"/>
  <c r="F19" i="1"/>
  <c r="F20" i="1"/>
  <c r="F21" i="1"/>
  <c r="F22" i="1"/>
  <c r="G22" i="1" s="1"/>
  <c r="H22" i="1" s="1"/>
  <c r="F23" i="1"/>
  <c r="F24" i="1"/>
  <c r="G24" i="1" s="1"/>
  <c r="L24" i="1" s="1"/>
  <c r="F25" i="1"/>
  <c r="F26" i="1"/>
  <c r="F27" i="1"/>
  <c r="F28" i="1"/>
  <c r="G28" i="1" s="1"/>
  <c r="H28" i="1" s="1"/>
  <c r="D3" i="1"/>
  <c r="D4" i="1"/>
  <c r="D5" i="1"/>
  <c r="D6" i="1"/>
  <c r="D7" i="1"/>
  <c r="D8" i="1"/>
  <c r="D9" i="1"/>
  <c r="D10" i="1"/>
  <c r="D11" i="1"/>
  <c r="D12" i="1"/>
  <c r="D13" i="1"/>
  <c r="D14" i="1"/>
  <c r="G14" i="1" s="1"/>
  <c r="D15" i="1"/>
  <c r="D16" i="1"/>
  <c r="D17" i="1"/>
  <c r="D19" i="1"/>
  <c r="D20" i="1"/>
  <c r="D22" i="1"/>
  <c r="D23" i="1"/>
  <c r="G23" i="1" s="1"/>
  <c r="D24" i="1"/>
  <c r="D25" i="1"/>
  <c r="D26" i="1"/>
  <c r="D28" i="1"/>
  <c r="I3" i="3"/>
  <c r="I4" i="3"/>
  <c r="I5" i="3"/>
  <c r="I6" i="3"/>
  <c r="I2" i="3"/>
  <c r="D2" i="3"/>
  <c r="F2" i="1"/>
  <c r="D2" i="1"/>
  <c r="G7" i="1" l="1"/>
  <c r="L7" i="1" s="1"/>
  <c r="G5" i="1"/>
  <c r="L5" i="1" s="1"/>
  <c r="G4" i="1"/>
  <c r="H4" i="1" s="1"/>
  <c r="G3" i="1"/>
  <c r="L3" i="1" s="1"/>
  <c r="T23" i="1"/>
  <c r="M23" i="1"/>
  <c r="R23" i="1"/>
  <c r="M25" i="1" s="1"/>
  <c r="P17" i="1"/>
  <c r="R11" i="1"/>
  <c r="M11" i="1" s="1"/>
  <c r="L28" i="1"/>
  <c r="L27" i="1"/>
  <c r="H26" i="1"/>
  <c r="H25" i="1"/>
  <c r="H24" i="1"/>
  <c r="H23" i="1"/>
  <c r="L23" i="1"/>
  <c r="L22" i="1"/>
  <c r="L21" i="1"/>
  <c r="G20" i="1"/>
  <c r="H20" i="1"/>
  <c r="L20" i="1"/>
  <c r="G19" i="1"/>
  <c r="L19" i="1" s="1"/>
  <c r="H18" i="1"/>
  <c r="H17" i="1"/>
  <c r="H16" i="1"/>
  <c r="G15" i="1"/>
  <c r="L15" i="1"/>
  <c r="H15" i="1"/>
  <c r="L14" i="1"/>
  <c r="H14" i="1"/>
  <c r="G13" i="1"/>
  <c r="L13" i="1" s="1"/>
  <c r="L12" i="1"/>
  <c r="H11" i="1"/>
  <c r="G10" i="1"/>
  <c r="L10" i="1"/>
  <c r="H10" i="1"/>
  <c r="H9" i="1"/>
  <c r="G8" i="1"/>
  <c r="L8" i="1" s="1"/>
  <c r="H8" i="1"/>
  <c r="G6" i="1"/>
  <c r="N3" i="2" s="1"/>
  <c r="O2" i="3"/>
  <c r="H7" i="1" l="1"/>
  <c r="O4" i="2" s="1"/>
  <c r="N4" i="2"/>
  <c r="H5" i="1"/>
  <c r="O2" i="2" s="1"/>
  <c r="N2" i="2"/>
  <c r="H6" i="1"/>
  <c r="O3" i="2" s="1"/>
  <c r="L6" i="1"/>
  <c r="P5" i="1" s="1"/>
  <c r="H3" i="1"/>
  <c r="L4" i="1"/>
  <c r="M24" i="1"/>
  <c r="O23" i="1" s="1"/>
  <c r="M19" i="1"/>
  <c r="M18" i="1"/>
  <c r="T17" i="1"/>
  <c r="M17" i="1"/>
  <c r="O17" i="1" s="1"/>
  <c r="M12" i="1"/>
  <c r="M13" i="1"/>
  <c r="H19" i="1"/>
  <c r="H13" i="1"/>
  <c r="E3" i="3"/>
  <c r="G3" i="3" s="1"/>
  <c r="E4" i="3"/>
  <c r="G4" i="3" s="1"/>
  <c r="E5" i="3"/>
  <c r="G5" i="3" s="1"/>
  <c r="E6" i="3"/>
  <c r="G6" i="3" s="1"/>
  <c r="D3" i="3"/>
  <c r="D4" i="3"/>
  <c r="D5" i="3"/>
  <c r="D6" i="3"/>
  <c r="E2" i="3"/>
  <c r="G2" i="3" s="1"/>
  <c r="J2" i="1"/>
  <c r="K2" i="1" s="1"/>
  <c r="R5" i="1" l="1"/>
  <c r="F3" i="2" s="1"/>
  <c r="D3" i="2"/>
  <c r="T5" i="1"/>
  <c r="B3" i="2" s="1"/>
  <c r="S23" i="1"/>
  <c r="Q23" i="1"/>
  <c r="U23" i="1" s="1"/>
  <c r="S17" i="1"/>
  <c r="Q17" i="1"/>
  <c r="U17" i="1" s="1"/>
  <c r="N20" i="1"/>
  <c r="J2" i="3"/>
  <c r="J6" i="3"/>
  <c r="H6" i="2" s="1"/>
  <c r="J5" i="3"/>
  <c r="H5" i="2" s="1"/>
  <c r="N14" i="1"/>
  <c r="K3" i="2"/>
  <c r="K4" i="2"/>
  <c r="K2" i="2"/>
  <c r="M5" i="1" l="1"/>
  <c r="M7" i="1"/>
  <c r="M6" i="1"/>
  <c r="S11" i="1"/>
  <c r="U11" i="1"/>
  <c r="N8" i="1"/>
  <c r="U2" i="2"/>
  <c r="J4" i="3"/>
  <c r="H4" i="2" s="1"/>
  <c r="J3" i="3"/>
  <c r="H3" i="2" s="1"/>
  <c r="T2" i="2"/>
  <c r="G2" i="1"/>
  <c r="H2" i="1" s="1"/>
  <c r="O5" i="1" l="1"/>
  <c r="M2" i="2"/>
  <c r="L2" i="1"/>
  <c r="P2" i="1" s="1"/>
  <c r="L2" i="2"/>
  <c r="AB2" i="2"/>
  <c r="S5" i="1" l="1"/>
  <c r="G3" i="2" s="1"/>
  <c r="Q5" i="1"/>
  <c r="T4" i="2"/>
  <c r="AC2" i="2"/>
  <c r="AC4" i="2"/>
  <c r="AB4" i="2"/>
  <c r="Q2" i="2"/>
  <c r="U4" i="2"/>
  <c r="L4" i="2"/>
  <c r="M4" i="2"/>
  <c r="Q4" i="2"/>
  <c r="Y3" i="2"/>
  <c r="X2" i="2"/>
  <c r="X4" i="2"/>
  <c r="Y2" i="2"/>
  <c r="P2" i="2"/>
  <c r="T3" i="2"/>
  <c r="U3" i="2"/>
  <c r="Y4" i="2"/>
  <c r="AC3" i="2"/>
  <c r="AB3" i="2"/>
  <c r="L3" i="2"/>
  <c r="M3" i="2"/>
  <c r="Q3" i="2"/>
  <c r="X3" i="2"/>
  <c r="P3" i="2"/>
  <c r="P4" i="2"/>
  <c r="E3" i="2" l="1"/>
  <c r="U5" i="1"/>
  <c r="C3" i="2" s="1"/>
  <c r="P14" i="1"/>
  <c r="T14" i="1" s="1"/>
  <c r="B6" i="2" s="1"/>
  <c r="P8" i="1"/>
  <c r="D4" i="2" s="1"/>
  <c r="R8" i="1"/>
  <c r="F4" i="2" s="1"/>
  <c r="R2" i="1"/>
  <c r="F2" i="2" s="1"/>
  <c r="P20" i="1"/>
  <c r="R14" i="1"/>
  <c r="F6" i="2" s="1"/>
  <c r="R20" i="1"/>
  <c r="F8" i="2" s="1"/>
  <c r="P26" i="1"/>
  <c r="T26" i="1" s="1"/>
  <c r="R26" i="1"/>
  <c r="F10" i="2" s="1"/>
  <c r="D6" i="2" l="1"/>
  <c r="D2" i="2"/>
  <c r="M3" i="1"/>
  <c r="M4" i="1"/>
  <c r="M14" i="1"/>
  <c r="M15" i="1"/>
  <c r="T2" i="1"/>
  <c r="B2" i="2" s="1"/>
  <c r="M21" i="1"/>
  <c r="M20" i="1"/>
  <c r="M22" i="1"/>
  <c r="D8" i="2"/>
  <c r="M8" i="1"/>
  <c r="T20" i="1"/>
  <c r="B8" i="2" s="1"/>
  <c r="T8" i="1"/>
  <c r="B4" i="2" s="1"/>
  <c r="M10" i="1"/>
  <c r="M9" i="1"/>
  <c r="M16" i="1"/>
  <c r="M2" i="1"/>
  <c r="M26" i="1"/>
  <c r="D10" i="2"/>
  <c r="B10" i="2"/>
  <c r="M27" i="1"/>
  <c r="M28" i="1"/>
  <c r="O2" i="1" l="1"/>
  <c r="S2" i="1" s="1"/>
  <c r="G2" i="2" s="1"/>
  <c r="O14" i="1"/>
  <c r="S14" i="1" s="1"/>
  <c r="G6" i="2" s="1"/>
  <c r="O20" i="1"/>
  <c r="S20" i="1" s="1"/>
  <c r="G8" i="2" s="1"/>
  <c r="O8" i="1"/>
  <c r="Q8" i="1" s="1"/>
  <c r="U8" i="1" s="1"/>
  <c r="C4" i="2" s="1"/>
  <c r="O26" i="1"/>
  <c r="S26" i="1" s="1"/>
  <c r="G10" i="2" s="1"/>
  <c r="Q14" i="1" l="1"/>
  <c r="U14" i="1" s="1"/>
  <c r="C6" i="2" s="1"/>
  <c r="Q20" i="1"/>
  <c r="U20" i="1" s="1"/>
  <c r="C8" i="2" s="1"/>
  <c r="Q26" i="1"/>
  <c r="U26" i="1" s="1"/>
  <c r="C10" i="2" s="1"/>
  <c r="S8" i="1"/>
  <c r="G4" i="2" s="1"/>
  <c r="Q2" i="1"/>
  <c r="U2" i="1" l="1"/>
  <c r="C2" i="2" s="1"/>
  <c r="E2" i="2"/>
</calcChain>
</file>

<file path=xl/sharedStrings.xml><?xml version="1.0" encoding="utf-8"?>
<sst xmlns="http://schemas.openxmlformats.org/spreadsheetml/2006/main" count="71" uniqueCount="65">
  <si>
    <t>Angle</t>
  </si>
  <si>
    <t>FWHMUS</t>
  </si>
  <si>
    <t>FWHMS</t>
  </si>
  <si>
    <t>AxialPositionCM</t>
  </si>
  <si>
    <t>AxialPositionMM</t>
  </si>
  <si>
    <t>Slope</t>
  </si>
  <si>
    <t>Delta</t>
  </si>
  <si>
    <t>XY</t>
  </si>
  <si>
    <t>DivergenceHalfAngle</t>
  </si>
  <si>
    <t>BeamWidth_40</t>
  </si>
  <si>
    <t>BeamWidth_20</t>
  </si>
  <si>
    <t>BeamWidth0</t>
  </si>
  <si>
    <t>BeamWidth20</t>
  </si>
  <si>
    <t>BeamWidth40</t>
  </si>
  <si>
    <t>Yint</t>
  </si>
  <si>
    <t>YInt</t>
  </si>
  <si>
    <t>BeamWidth_40U</t>
  </si>
  <si>
    <t>BeamWidth_20U</t>
  </si>
  <si>
    <t>BeamWidth0U</t>
  </si>
  <si>
    <t>BeamWidth20U</t>
  </si>
  <si>
    <t>BeamWidth40U</t>
  </si>
  <si>
    <t>SlopeU</t>
  </si>
  <si>
    <t>DivergenceHalfAngleU</t>
  </si>
  <si>
    <t>DiscRadiusMM</t>
  </si>
  <si>
    <t>BeamWidthU</t>
  </si>
  <si>
    <t>CU</t>
  </si>
  <si>
    <t>y-mx-b</t>
  </si>
  <si>
    <t>DL</t>
  </si>
  <si>
    <t>DivergenceHalfAngle2</t>
  </si>
  <si>
    <t>Phi1D</t>
  </si>
  <si>
    <t>Phi2D</t>
  </si>
  <si>
    <t>Phi1R</t>
  </si>
  <si>
    <t>Phi2R</t>
  </si>
  <si>
    <t>SlopeM1</t>
  </si>
  <si>
    <t>SlopeM2</t>
  </si>
  <si>
    <t>DivergenceHalfAngle1</t>
  </si>
  <si>
    <t>(Phi1-Phi2)/L</t>
  </si>
  <si>
    <t>XM2</t>
  </si>
  <si>
    <t>`</t>
  </si>
  <si>
    <t>Distance between placements</t>
  </si>
  <si>
    <t>Right</t>
  </si>
  <si>
    <t>Left</t>
  </si>
  <si>
    <t>PartDiscRadiusMM</t>
  </si>
  <si>
    <t>Lambda</t>
  </si>
  <si>
    <t>Thickness</t>
  </si>
  <si>
    <t>Angle of incidence</t>
  </si>
  <si>
    <t>Push beam chopper to the left when screwed in</t>
  </si>
  <si>
    <t>X^2</t>
  </si>
  <si>
    <t>YintU</t>
  </si>
  <si>
    <t>YIntU</t>
  </si>
  <si>
    <t>±0.25</t>
  </si>
  <si>
    <t>converging negative</t>
  </si>
  <si>
    <t>diverging positive</t>
  </si>
  <si>
    <t>BeamRadius</t>
  </si>
  <si>
    <t>Placement</t>
  </si>
  <si>
    <t>OscilloscopeFrequency</t>
  </si>
  <si>
    <t>BeamWidth_30</t>
  </si>
  <si>
    <t>BeamWidth_30U</t>
  </si>
  <si>
    <t>BeamWidth_10</t>
  </si>
  <si>
    <t>BeamWidth_10U</t>
  </si>
  <si>
    <t>BeamWidth10</t>
  </si>
  <si>
    <t>BeamWidth10U</t>
  </si>
  <si>
    <t>BeamWidth30</t>
  </si>
  <si>
    <t>BeamWidth30U</t>
  </si>
  <si>
    <t>SlopeUM1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</si>
</sst>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00"/>
    <numFmt numFmtId="166" formatCode="0.0"/>
    <numFmt numFmtId="167" formatCode="0.0000000"/>
    <numFmt numFmtId="168" formatCode="0.00000"/>
    <numFmt numFmtId="169" formatCode="0.0%"/>
    <numFmt numFmtId="170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168" fontId="0" fillId="0" borderId="0" xfId="1" applyNumberFormat="1" applyFont="1"/>
    <xf numFmtId="170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4B62-2AC5-4D1B-99B3-3FB719FC351A}">
  <sheetPr codeName="Sheet1"/>
  <dimension ref="A1:V97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75" x14ac:dyDescent="0.75"/>
  <cols>
    <col min="1" max="1" width="5.86328125" bestFit="1" customWidth="1"/>
    <col min="2" max="2" width="19.40625" bestFit="1" customWidth="1"/>
    <col min="3" max="3" width="15.86328125" bestFit="1" customWidth="1"/>
    <col min="4" max="4" width="12.54296875" bestFit="1" customWidth="1"/>
    <col min="5" max="5" width="8.86328125" bestFit="1" customWidth="1"/>
    <col min="6" max="6" width="8.54296875" bestFit="1" customWidth="1"/>
    <col min="7" max="7" width="12.1328125" bestFit="1" customWidth="1"/>
    <col min="8" max="8" width="12.40625" bestFit="1" customWidth="1"/>
    <col min="9" max="9" width="15.40625" bestFit="1" customWidth="1"/>
    <col min="10" max="10" width="15.86328125" bestFit="1" customWidth="1"/>
    <col min="11" max="11" width="8.54296875" bestFit="1" customWidth="1"/>
    <col min="12" max="12" width="11.7265625" bestFit="1" customWidth="1"/>
    <col min="13" max="13" width="8.86328125" bestFit="1" customWidth="1"/>
    <col min="14" max="14" width="6.7265625" bestFit="1" customWidth="1"/>
    <col min="15" max="15" width="5.54296875" bestFit="1" customWidth="1"/>
    <col min="16" max="16" width="8.26953125" bestFit="1" customWidth="1"/>
    <col min="17" max="17" width="7.1328125" bestFit="1" customWidth="1"/>
    <col min="18" max="19" width="5.54296875" bestFit="1" customWidth="1"/>
    <col min="20" max="20" width="19.26953125" bestFit="1" customWidth="1"/>
    <col min="21" max="21" width="20.54296875" bestFit="1" customWidth="1"/>
  </cols>
  <sheetData>
    <row r="1" spans="1:21" x14ac:dyDescent="0.75">
      <c r="A1" t="s">
        <v>0</v>
      </c>
      <c r="B1" t="s">
        <v>55</v>
      </c>
      <c r="C1" t="s">
        <v>42</v>
      </c>
      <c r="D1" t="s">
        <v>23</v>
      </c>
      <c r="E1" t="s">
        <v>1</v>
      </c>
      <c r="F1" t="s">
        <v>2</v>
      </c>
      <c r="G1" t="s">
        <v>53</v>
      </c>
      <c r="H1" t="s">
        <v>24</v>
      </c>
      <c r="I1" t="s">
        <v>3</v>
      </c>
      <c r="J1" s="4" t="s">
        <v>4</v>
      </c>
      <c r="K1" t="s">
        <v>47</v>
      </c>
      <c r="L1" t="s">
        <v>7</v>
      </c>
      <c r="M1" t="s">
        <v>26</v>
      </c>
      <c r="N1" t="s">
        <v>6</v>
      </c>
      <c r="O1" t="s">
        <v>25</v>
      </c>
      <c r="P1" t="s">
        <v>5</v>
      </c>
      <c r="Q1" t="s">
        <v>21</v>
      </c>
      <c r="R1" t="s">
        <v>14</v>
      </c>
      <c r="S1" t="s">
        <v>48</v>
      </c>
      <c r="T1" t="s">
        <v>8</v>
      </c>
      <c r="U1" t="s">
        <v>22</v>
      </c>
    </row>
    <row r="2" spans="1:21" x14ac:dyDescent="0.75">
      <c r="A2">
        <v>-40</v>
      </c>
      <c r="B2" s="4">
        <v>66.099999999999994</v>
      </c>
      <c r="C2" s="4">
        <v>12.5</v>
      </c>
      <c r="D2" s="4">
        <f t="shared" ref="D2:D28" si="0">IF(C2=0,0,(C2+18))</f>
        <v>30.5</v>
      </c>
      <c r="E2" s="4">
        <v>205.5</v>
      </c>
      <c r="F2" s="1">
        <f>E2/1000000</f>
        <v>2.0550000000000001E-4</v>
      </c>
      <c r="G2" s="2">
        <f>(2*PI()*B2*D2*F2)/(SQRT(2*LN(2)))</f>
        <v>2.2108804787549148</v>
      </c>
      <c r="H2" s="2">
        <f>IF(G2=0,0,(G2*2*PI()*SQRT(((B2*0.02+0.05)/B2)^2+(0.5/D2)^2+(0.000001/F2)^2))/SQRT(2*LN(2)))</f>
        <v>0.31729471585399477</v>
      </c>
      <c r="I2">
        <v>18.5</v>
      </c>
      <c r="J2" s="7">
        <f t="shared" ref="J2:J28" si="1">I2*10</f>
        <v>185</v>
      </c>
      <c r="K2" s="4">
        <f t="shared" ref="K2:K28" si="2">J2^2</f>
        <v>34225</v>
      </c>
      <c r="L2">
        <f t="shared" ref="L2:L28" si="3">J2*G2</f>
        <v>409.01288856965925</v>
      </c>
      <c r="M2" s="9">
        <f>G2-P2*J2-R2</f>
        <v>-2.9487151158358316E-3</v>
      </c>
      <c r="N2">
        <f>3*SUM(K2:K4)-(SUM(J2:J4))^2</f>
        <v>556322</v>
      </c>
      <c r="O2" s="12">
        <f>SUM(M2:M4)</f>
        <v>4.4408920985006262E-16</v>
      </c>
      <c r="P2" s="6">
        <f>(3*SUM(L2:L4)-SUM(G2:G4)*SUM(J2:J4))/N2</f>
        <v>-2.4976202421802419E-3</v>
      </c>
      <c r="Q2" s="2">
        <f>O2*SQRT(3/N2)</f>
        <v>1.0312589511431278E-18</v>
      </c>
      <c r="R2" s="2">
        <f>(SUM(K2:K4)*SUM(G2:G4)-SUM(J2:J4)*SUM(L2:L4))/N2</f>
        <v>2.6758889386740954</v>
      </c>
      <c r="S2" s="2">
        <f>O2*SQRT(SUM(K2:K4)/N2)</f>
        <v>5.660293455477059E-16</v>
      </c>
      <c r="T2" s="2">
        <f>1000*ATAN(P2)</f>
        <v>-2.4976150487256796</v>
      </c>
      <c r="U2" s="2">
        <f>1000*ATAN(Q2)</f>
        <v>1.0312589511431278E-15</v>
      </c>
    </row>
    <row r="3" spans="1:21" x14ac:dyDescent="0.75">
      <c r="A3">
        <v>-40</v>
      </c>
      <c r="B3" s="4">
        <v>65.400000000000006</v>
      </c>
      <c r="C3" s="4">
        <v>12.5</v>
      </c>
      <c r="D3" s="4">
        <f t="shared" si="0"/>
        <v>30.5</v>
      </c>
      <c r="E3" s="4">
        <v>137.19999999999999</v>
      </c>
      <c r="F3" s="1">
        <f t="shared" ref="F3:F28" si="4">E3/1000000</f>
        <v>1.372E-4</v>
      </c>
      <c r="G3" s="2">
        <f t="shared" ref="G3:G28" si="5">(2*PI()*B3*D3*F3)/(SQRT(2*LN(2)))</f>
        <v>1.4604404025612159</v>
      </c>
      <c r="H3" s="2">
        <f t="shared" ref="H3:H28" si="6">IF(G3=0,0,(G3*2*PI()*SQRT(((B3*0.02+0.05)/B3)^2+(0.5/D3)^2+(0.000001/F3)^2))/SQRT(2*LN(2)))</f>
        <v>0.213866839597456</v>
      </c>
      <c r="I3">
        <v>48.9</v>
      </c>
      <c r="J3" s="7">
        <f t="shared" si="1"/>
        <v>489</v>
      </c>
      <c r="K3" s="4">
        <f t="shared" si="2"/>
        <v>239121</v>
      </c>
      <c r="L3">
        <f t="shared" si="3"/>
        <v>714.15535685243458</v>
      </c>
      <c r="M3" s="9">
        <f>G3-P2*J3-R2</f>
        <v>5.8877623132587154E-3</v>
      </c>
      <c r="O3" s="12"/>
      <c r="P3" s="6"/>
      <c r="Q3" s="2"/>
      <c r="R3" s="2"/>
      <c r="S3" s="2"/>
      <c r="T3" s="2"/>
      <c r="U3" s="2"/>
    </row>
    <row r="4" spans="1:21" x14ac:dyDescent="0.75">
      <c r="A4">
        <v>-40</v>
      </c>
      <c r="B4" s="4">
        <v>65.900000000000006</v>
      </c>
      <c r="C4" s="4">
        <v>14</v>
      </c>
      <c r="D4" s="4">
        <f t="shared" si="0"/>
        <v>32</v>
      </c>
      <c r="E4" s="4">
        <v>61.3</v>
      </c>
      <c r="F4" s="1">
        <f t="shared" si="4"/>
        <v>6.1299999999999999E-5</v>
      </c>
      <c r="G4" s="2">
        <f t="shared" si="5"/>
        <v>0.6898394191855608</v>
      </c>
      <c r="H4" s="2">
        <f t="shared" si="6"/>
        <v>0.1129374383949471</v>
      </c>
      <c r="I4">
        <v>79.400000000000006</v>
      </c>
      <c r="J4" s="7">
        <f t="shared" si="1"/>
        <v>794</v>
      </c>
      <c r="K4" s="4">
        <f t="shared" si="2"/>
        <v>630436</v>
      </c>
      <c r="L4">
        <f t="shared" si="3"/>
        <v>547.73249883333528</v>
      </c>
      <c r="M4" s="9">
        <f>G4-P2*J4-R2</f>
        <v>-2.9390471974224397E-3</v>
      </c>
      <c r="O4" s="12"/>
      <c r="P4" s="6"/>
      <c r="Q4" s="2"/>
      <c r="R4" s="2"/>
      <c r="S4" s="2"/>
      <c r="T4" s="2"/>
      <c r="U4" s="2"/>
    </row>
    <row r="5" spans="1:21" x14ac:dyDescent="0.75">
      <c r="A5">
        <v>-30</v>
      </c>
      <c r="B5" s="4">
        <v>66.2</v>
      </c>
      <c r="C5" s="4">
        <v>14</v>
      </c>
      <c r="D5" s="4">
        <f t="shared" si="0"/>
        <v>32</v>
      </c>
      <c r="E5" s="4">
        <v>212.4</v>
      </c>
      <c r="F5" s="1">
        <f t="shared" si="4"/>
        <v>2.1240000000000001E-4</v>
      </c>
      <c r="G5" s="2">
        <f t="shared" si="5"/>
        <v>2.4011241741127045</v>
      </c>
      <c r="H5" s="2">
        <f t="shared" si="6"/>
        <v>0.33830685442964153</v>
      </c>
      <c r="I5">
        <v>18.5</v>
      </c>
      <c r="J5" s="7">
        <f t="shared" si="1"/>
        <v>185</v>
      </c>
      <c r="K5" s="4">
        <f t="shared" si="2"/>
        <v>34225</v>
      </c>
      <c r="L5">
        <f t="shared" si="3"/>
        <v>444.20797221085036</v>
      </c>
      <c r="M5" s="9">
        <f>G5-P5*J5-R5</f>
        <v>1.0007148353926798E-2</v>
      </c>
      <c r="N5">
        <f>3*SUM(K5:K7)-(SUM(J5:J7))^2</f>
        <v>556322</v>
      </c>
      <c r="O5" s="12">
        <f>SUM(M5:M7)</f>
        <v>-4.4408920985006262E-16</v>
      </c>
      <c r="P5" s="6">
        <f>(3*SUM(L5:L7)-SUM(G5:G7)*SUM(J5:J7))/N5</f>
        <v>-2.0344116683762704E-3</v>
      </c>
      <c r="Q5" s="2">
        <f>O5*SQRT(3/N5)</f>
        <v>-1.0312589511431278E-18</v>
      </c>
      <c r="R5" s="2">
        <f>(SUM(K5:K7)*SUM(G5:G7)-SUM(J5:J7)*SUM(L5:L7))/N5</f>
        <v>2.7674831844083876</v>
      </c>
      <c r="S5" s="2">
        <f>O5*SQRT(SUM(K5:K7)/N5)</f>
        <v>-5.660293455477059E-16</v>
      </c>
      <c r="T5" s="2">
        <f>1000*ATAN(P5)</f>
        <v>-2.0344088616879912</v>
      </c>
      <c r="U5" s="2">
        <f>1000*ATAN(Q5)</f>
        <v>-1.0312589511431278E-15</v>
      </c>
    </row>
    <row r="6" spans="1:21" x14ac:dyDescent="0.75">
      <c r="A6">
        <v>-30</v>
      </c>
      <c r="B6" s="4">
        <v>66.2</v>
      </c>
      <c r="C6" s="4">
        <v>13.5</v>
      </c>
      <c r="D6" s="4">
        <f t="shared" si="0"/>
        <v>31.5</v>
      </c>
      <c r="E6" s="4">
        <v>157.5</v>
      </c>
      <c r="F6" s="1">
        <f t="shared" si="4"/>
        <v>1.5750000000000001E-4</v>
      </c>
      <c r="G6" s="2">
        <f t="shared" si="5"/>
        <v>1.752674392187008</v>
      </c>
      <c r="H6" s="2">
        <f t="shared" si="6"/>
        <v>0.25149922060663732</v>
      </c>
      <c r="I6">
        <v>48.9</v>
      </c>
      <c r="J6" s="7">
        <f t="shared" si="1"/>
        <v>489</v>
      </c>
      <c r="K6" s="4">
        <f t="shared" si="2"/>
        <v>239121</v>
      </c>
      <c r="L6">
        <f t="shared" si="3"/>
        <v>857.05777777944695</v>
      </c>
      <c r="M6" s="9">
        <f>G6-P5*J6-R5</f>
        <v>-1.9981486385383107E-2</v>
      </c>
      <c r="O6" s="12"/>
      <c r="P6" s="6"/>
      <c r="Q6" s="2"/>
      <c r="R6" s="2"/>
      <c r="S6" s="2"/>
      <c r="T6" s="2"/>
      <c r="U6" s="2"/>
    </row>
    <row r="7" spans="1:21" x14ac:dyDescent="0.75">
      <c r="A7">
        <v>-30</v>
      </c>
      <c r="B7" s="4">
        <v>65.900000000000006</v>
      </c>
      <c r="C7" s="4">
        <v>13</v>
      </c>
      <c r="D7" s="4">
        <f t="shared" si="0"/>
        <v>31</v>
      </c>
      <c r="E7" s="4">
        <v>106.6</v>
      </c>
      <c r="F7" s="1">
        <f t="shared" si="4"/>
        <v>1.0659999999999999E-4</v>
      </c>
      <c r="G7" s="2">
        <f t="shared" si="5"/>
        <v>1.1621346577490845</v>
      </c>
      <c r="H7" s="2">
        <f t="shared" si="6"/>
        <v>0.17310001227501071</v>
      </c>
      <c r="I7">
        <v>79.400000000000006</v>
      </c>
      <c r="J7" s="7">
        <f t="shared" si="1"/>
        <v>794</v>
      </c>
      <c r="K7" s="4">
        <f t="shared" si="2"/>
        <v>630436</v>
      </c>
      <c r="L7">
        <f t="shared" si="3"/>
        <v>922.73491825277313</v>
      </c>
      <c r="M7" s="9">
        <f>G7-P5*J7-R5</f>
        <v>9.974338031455865E-3</v>
      </c>
      <c r="O7" s="12"/>
      <c r="P7" s="6"/>
      <c r="Q7" s="2"/>
      <c r="R7" s="2"/>
      <c r="S7" s="2"/>
      <c r="T7" s="2"/>
      <c r="U7" s="2"/>
    </row>
    <row r="8" spans="1:21" x14ac:dyDescent="0.75">
      <c r="A8">
        <v>-20</v>
      </c>
      <c r="B8" s="4">
        <v>65.7</v>
      </c>
      <c r="C8" s="4">
        <v>10</v>
      </c>
      <c r="D8" s="4">
        <f t="shared" si="0"/>
        <v>28</v>
      </c>
      <c r="E8" s="4">
        <v>254</v>
      </c>
      <c r="F8" s="1">
        <f t="shared" si="4"/>
        <v>2.5399999999999999E-4</v>
      </c>
      <c r="G8" s="2">
        <f t="shared" si="5"/>
        <v>2.4934993395621925</v>
      </c>
      <c r="H8" s="2">
        <f t="shared" si="6"/>
        <v>0.36813329963624175</v>
      </c>
      <c r="I8">
        <v>18.5</v>
      </c>
      <c r="J8" s="7">
        <f t="shared" si="1"/>
        <v>185</v>
      </c>
      <c r="K8" s="4">
        <f t="shared" si="2"/>
        <v>34225</v>
      </c>
      <c r="L8">
        <f t="shared" si="3"/>
        <v>461.29737781900559</v>
      </c>
      <c r="M8" s="9">
        <f t="shared" ref="M8" si="7">G8-P8*J8-R8</f>
        <v>1.1639472425515329E-3</v>
      </c>
      <c r="N8">
        <f>3*SUM(K8:K10)-(SUM(J8:J10))^2</f>
        <v>556322</v>
      </c>
      <c r="O8" s="12">
        <f>SUM(M8:M10)</f>
        <v>1.7763568394002505E-15</v>
      </c>
      <c r="P8" s="6">
        <f>(3*SUM(L8:L10)-SUM(G8:G10)*SUM(J8:J10))/N8</f>
        <v>-1.2696015951383158E-3</v>
      </c>
      <c r="Q8" s="2">
        <f>O8*SQRT(3/N8)</f>
        <v>4.1250358045725114E-18</v>
      </c>
      <c r="R8" s="2">
        <f>(SUM(K8:K10)*SUM(G8:G10)-SUM(J8:J10)*SUM(L8:L10))/N8</f>
        <v>2.7272116874202292</v>
      </c>
      <c r="S8" s="2">
        <f>O8*SQRT(SUM(K8:K10)/N8)</f>
        <v>2.2641173821908236E-15</v>
      </c>
      <c r="T8" s="2">
        <f>1000*ATAN(P8)</f>
        <v>-1.2696009129870278</v>
      </c>
      <c r="U8" s="2">
        <f t="shared" ref="U8" si="8">1000*ATAN(Q8)</f>
        <v>4.1250358045725112E-15</v>
      </c>
    </row>
    <row r="9" spans="1:21" x14ac:dyDescent="0.75">
      <c r="A9">
        <v>-20</v>
      </c>
      <c r="B9" s="4">
        <v>65.900000000000006</v>
      </c>
      <c r="C9" s="4">
        <v>13</v>
      </c>
      <c r="D9" s="4">
        <f t="shared" si="0"/>
        <v>31</v>
      </c>
      <c r="E9" s="4">
        <v>193</v>
      </c>
      <c r="F9" s="1">
        <f t="shared" si="4"/>
        <v>1.93E-4</v>
      </c>
      <c r="G9" s="2">
        <f t="shared" si="5"/>
        <v>2.1040524291329583</v>
      </c>
      <c r="H9" s="2">
        <f t="shared" si="6"/>
        <v>0.30084703159382303</v>
      </c>
      <c r="I9">
        <v>48.9</v>
      </c>
      <c r="J9" s="7">
        <f t="shared" si="1"/>
        <v>489</v>
      </c>
      <c r="K9" s="4">
        <f t="shared" si="2"/>
        <v>239121</v>
      </c>
      <c r="L9">
        <f t="shared" si="3"/>
        <v>1028.8816378460167</v>
      </c>
      <c r="M9" s="9">
        <f>G9-P8*J9-R8</f>
        <v>-2.3240782646345437E-3</v>
      </c>
      <c r="O9" s="12"/>
      <c r="P9" s="6"/>
      <c r="Q9" s="2"/>
      <c r="R9" s="2"/>
      <c r="S9" s="2"/>
      <c r="T9" s="2"/>
      <c r="U9" s="2"/>
    </row>
    <row r="10" spans="1:21" x14ac:dyDescent="0.75">
      <c r="A10">
        <v>-20</v>
      </c>
      <c r="B10" s="4">
        <v>65.900000000000006</v>
      </c>
      <c r="C10" s="4">
        <v>13</v>
      </c>
      <c r="D10" s="4">
        <f t="shared" si="0"/>
        <v>31</v>
      </c>
      <c r="E10" s="4">
        <v>157.80000000000001</v>
      </c>
      <c r="F10" s="1">
        <f t="shared" si="4"/>
        <v>1.5780000000000001E-4</v>
      </c>
      <c r="G10" s="2">
        <f t="shared" si="5"/>
        <v>1.7203081519024914</v>
      </c>
      <c r="H10" s="2">
        <f t="shared" si="6"/>
        <v>0.24824772826932334</v>
      </c>
      <c r="I10">
        <v>79.400000000000006</v>
      </c>
      <c r="J10" s="7">
        <f t="shared" si="1"/>
        <v>794</v>
      </c>
      <c r="K10" s="4">
        <f t="shared" si="2"/>
        <v>630436</v>
      </c>
      <c r="L10">
        <f t="shared" si="3"/>
        <v>1365.9246726105782</v>
      </c>
      <c r="M10" s="9">
        <f>G10-P8*J10-R8</f>
        <v>1.1601310220847871E-3</v>
      </c>
      <c r="O10" s="12"/>
      <c r="P10" s="6"/>
      <c r="Q10" s="2"/>
      <c r="R10" s="2"/>
      <c r="S10" s="2"/>
      <c r="T10" s="2"/>
      <c r="U10" s="2"/>
    </row>
    <row r="11" spans="1:21" x14ac:dyDescent="0.75">
      <c r="A11">
        <v>-10</v>
      </c>
      <c r="B11" s="4">
        <v>65.900000000000006</v>
      </c>
      <c r="C11" s="4">
        <v>13</v>
      </c>
      <c r="D11" s="4">
        <f t="shared" si="0"/>
        <v>31</v>
      </c>
      <c r="E11" s="4">
        <v>233</v>
      </c>
      <c r="F11" s="1">
        <f t="shared" si="4"/>
        <v>2.33E-4</v>
      </c>
      <c r="G11" s="2">
        <f t="shared" si="5"/>
        <v>2.540125471440307</v>
      </c>
      <c r="H11" s="2">
        <f t="shared" si="6"/>
        <v>0.36106096596422255</v>
      </c>
      <c r="I11">
        <v>18.5</v>
      </c>
      <c r="J11" s="7">
        <f t="shared" si="1"/>
        <v>185</v>
      </c>
      <c r="K11" s="4">
        <f t="shared" si="2"/>
        <v>34225</v>
      </c>
      <c r="L11">
        <f t="shared" si="3"/>
        <v>469.92321221645682</v>
      </c>
      <c r="M11" s="9">
        <f>G11-P11*J11-R11</f>
        <v>7.7285750061051317E-3</v>
      </c>
      <c r="N11">
        <f>3*SUM(K11:K13)-(SUM(J11:J13))^2</f>
        <v>556322</v>
      </c>
      <c r="O11" s="12">
        <f>SUM(M11:M13)</f>
        <v>3.9968028886505635E-15</v>
      </c>
      <c r="P11" s="6">
        <f>(3*SUM(L11:L13)-SUM(G11:G13)*SUM(J11:J13))/N11</f>
        <v>-5.1726069814513032E-4</v>
      </c>
      <c r="Q11" s="2">
        <f>O11*SQRT(3/N11)</f>
        <v>9.2813305602881506E-18</v>
      </c>
      <c r="R11" s="2">
        <f>(SUM(K11:K13)*SUM(G11:G13)-SUM(J11:J13)*SUM(L11:L13))/N11</f>
        <v>2.6280901255910512</v>
      </c>
      <c r="S11" s="2">
        <f>O11*SQRT(SUM(K11:K13)/N11)</f>
        <v>5.0942641099293529E-15</v>
      </c>
      <c r="T11" s="2">
        <f>1000*ATAN(P11)</f>
        <v>-0.51726065201261651</v>
      </c>
      <c r="U11" s="2">
        <f t="shared" ref="U11" si="9">1000*ATAN(Q11)</f>
        <v>9.28133056028815E-15</v>
      </c>
    </row>
    <row r="12" spans="1:21" x14ac:dyDescent="0.75">
      <c r="A12">
        <v>-10</v>
      </c>
      <c r="B12" s="4">
        <v>65.900000000000006</v>
      </c>
      <c r="C12" s="4">
        <v>12.5</v>
      </c>
      <c r="D12" s="4">
        <f t="shared" si="0"/>
        <v>30.5</v>
      </c>
      <c r="E12" s="4">
        <v>220</v>
      </c>
      <c r="F12" s="1">
        <f t="shared" si="4"/>
        <v>2.2000000000000001E-4</v>
      </c>
      <c r="G12" s="2">
        <f t="shared" si="5"/>
        <v>2.3597178337760574</v>
      </c>
      <c r="H12" s="2">
        <f t="shared" si="6"/>
        <v>0.33797004217821258</v>
      </c>
      <c r="I12">
        <v>48.9</v>
      </c>
      <c r="J12" s="7">
        <f t="shared" si="1"/>
        <v>489</v>
      </c>
      <c r="K12" s="4">
        <f t="shared" si="2"/>
        <v>239121</v>
      </c>
      <c r="L12">
        <f t="shared" si="3"/>
        <v>1153.902020716492</v>
      </c>
      <c r="M12" s="9">
        <f>G12-P11*J12-R11</f>
        <v>-1.5431810422025016E-2</v>
      </c>
      <c r="O12" s="12"/>
      <c r="P12" s="6"/>
      <c r="Q12" s="2"/>
      <c r="R12" s="2"/>
      <c r="S12" s="2"/>
      <c r="T12" s="2"/>
      <c r="U12" s="2"/>
    </row>
    <row r="13" spans="1:21" x14ac:dyDescent="0.75">
      <c r="A13">
        <v>-10</v>
      </c>
      <c r="B13" s="4">
        <v>66.2</v>
      </c>
      <c r="C13" s="4">
        <v>10.5</v>
      </c>
      <c r="D13" s="4">
        <f t="shared" si="0"/>
        <v>28.5</v>
      </c>
      <c r="E13" s="4">
        <v>221</v>
      </c>
      <c r="F13" s="1">
        <f t="shared" si="4"/>
        <v>2.2100000000000001E-4</v>
      </c>
      <c r="G13" s="2">
        <f t="shared" si="5"/>
        <v>2.2250883666797416</v>
      </c>
      <c r="H13" s="2">
        <f t="shared" si="6"/>
        <v>0.32713932304704707</v>
      </c>
      <c r="I13">
        <v>79.400000000000006</v>
      </c>
      <c r="J13" s="7">
        <f t="shared" si="1"/>
        <v>794</v>
      </c>
      <c r="K13" s="4">
        <f t="shared" si="2"/>
        <v>630436</v>
      </c>
      <c r="L13">
        <f t="shared" si="3"/>
        <v>1766.7201631437149</v>
      </c>
      <c r="M13" s="9">
        <f>G13-P11*J13-R11</f>
        <v>7.7032354159238814E-3</v>
      </c>
      <c r="O13" s="12"/>
      <c r="P13" s="6"/>
      <c r="Q13" s="2"/>
      <c r="R13" s="2"/>
      <c r="S13" s="2"/>
      <c r="T13" s="2"/>
      <c r="U13" s="2"/>
    </row>
    <row r="14" spans="1:21" x14ac:dyDescent="0.75">
      <c r="A14">
        <v>0</v>
      </c>
      <c r="B14" s="4">
        <v>66</v>
      </c>
      <c r="C14" s="4">
        <v>12</v>
      </c>
      <c r="D14" s="4">
        <f t="shared" si="0"/>
        <v>30</v>
      </c>
      <c r="E14" s="4">
        <v>252</v>
      </c>
      <c r="F14" s="1">
        <f t="shared" si="4"/>
        <v>2.52E-4</v>
      </c>
      <c r="G14" s="2">
        <f t="shared" si="5"/>
        <v>2.6626732242115958</v>
      </c>
      <c r="H14" s="2">
        <f t="shared" si="6"/>
        <v>0.38243687610587823</v>
      </c>
      <c r="I14">
        <v>18.5</v>
      </c>
      <c r="J14" s="7">
        <f t="shared" si="1"/>
        <v>185</v>
      </c>
      <c r="K14" s="4">
        <f t="shared" si="2"/>
        <v>34225</v>
      </c>
      <c r="L14">
        <f t="shared" si="3"/>
        <v>492.59454647914521</v>
      </c>
      <c r="M14" s="9">
        <f>G14-P14*J14-R14</f>
        <v>6.1192996476484574E-3</v>
      </c>
      <c r="N14">
        <f>3*SUM(K14:K16)-(SUM(J14:J16))^2</f>
        <v>556322</v>
      </c>
      <c r="O14" s="12">
        <f>SUM(M14:M16)</f>
        <v>-2.6645352591003757E-15</v>
      </c>
      <c r="P14" s="6">
        <f>(3*SUM(L14:L16)-SUM(G14:G16)*SUM(J14:J16))/N14</f>
        <v>2.1283184454960334E-4</v>
      </c>
      <c r="Q14" s="2">
        <f>O14*SQRT(3/N14)</f>
        <v>-6.1875537068587671E-18</v>
      </c>
      <c r="R14" s="2">
        <f>(SUM(K14:K16)*SUM(G14:G16)-SUM(J14:J16)*SUM(L14:L16))/N14</f>
        <v>2.6171800333222706</v>
      </c>
      <c r="S14" s="2">
        <f>O14*SQRT(SUM(K14:K16)/N14)</f>
        <v>-3.3961760732862354E-15</v>
      </c>
      <c r="T14" s="2">
        <f t="shared" ref="T14" si="10">1000*ATAN(P14)</f>
        <v>0.21283184133602745</v>
      </c>
      <c r="U14" s="2">
        <f t="shared" ref="U14" si="11">1000*ATAN(Q14)</f>
        <v>-6.1875537068587672E-15</v>
      </c>
    </row>
    <row r="15" spans="1:21" x14ac:dyDescent="0.75">
      <c r="A15">
        <v>0</v>
      </c>
      <c r="B15" s="4">
        <v>66.099999999999994</v>
      </c>
      <c r="C15" s="4">
        <v>12</v>
      </c>
      <c r="D15" s="4">
        <f t="shared" si="0"/>
        <v>30</v>
      </c>
      <c r="E15" s="4">
        <v>256</v>
      </c>
      <c r="F15" s="1">
        <f t="shared" si="4"/>
        <v>2.5599999999999999E-4</v>
      </c>
      <c r="G15" s="2">
        <f t="shared" si="5"/>
        <v>2.7090362692892573</v>
      </c>
      <c r="H15" s="2">
        <f t="shared" si="6"/>
        <v>0.38895201908358024</v>
      </c>
      <c r="I15">
        <v>48.9</v>
      </c>
      <c r="J15" s="7">
        <f t="shared" si="1"/>
        <v>489</v>
      </c>
      <c r="K15" s="4">
        <f t="shared" si="2"/>
        <v>239121</v>
      </c>
      <c r="L15">
        <f t="shared" si="3"/>
        <v>1324.7187356824468</v>
      </c>
      <c r="M15" s="9">
        <f>G15-P14*J15-R14</f>
        <v>-1.2218536017769122E-2</v>
      </c>
      <c r="O15" s="12"/>
      <c r="P15" s="6"/>
      <c r="Q15" s="2"/>
      <c r="R15" s="2"/>
      <c r="S15" s="2"/>
      <c r="T15" s="2"/>
      <c r="U15" s="2"/>
    </row>
    <row r="16" spans="1:21" x14ac:dyDescent="0.75">
      <c r="A16">
        <v>0</v>
      </c>
      <c r="B16" s="4">
        <v>66.2</v>
      </c>
      <c r="C16" s="4">
        <v>14</v>
      </c>
      <c r="D16" s="4">
        <f t="shared" si="0"/>
        <v>32</v>
      </c>
      <c r="E16" s="4">
        <v>247</v>
      </c>
      <c r="F16" s="1">
        <f t="shared" si="4"/>
        <v>2.4699999999999999E-4</v>
      </c>
      <c r="G16" s="2">
        <f t="shared" si="5"/>
        <v>2.7922677542647736</v>
      </c>
      <c r="H16" s="2">
        <f t="shared" si="6"/>
        <v>0.39178404664056404</v>
      </c>
      <c r="I16">
        <v>79.400000000000006</v>
      </c>
      <c r="J16" s="7">
        <f t="shared" si="1"/>
        <v>794</v>
      </c>
      <c r="K16" s="4">
        <f t="shared" si="2"/>
        <v>630436</v>
      </c>
      <c r="L16">
        <f t="shared" si="3"/>
        <v>2217.0605968862301</v>
      </c>
      <c r="M16" s="9">
        <f>G16-P14*J16-R14</f>
        <v>6.0992363701179997E-3</v>
      </c>
      <c r="O16" s="12"/>
      <c r="P16" s="6"/>
      <c r="Q16" s="2"/>
      <c r="R16" s="2"/>
      <c r="S16" s="2"/>
      <c r="T16" s="2"/>
      <c r="U16" s="2"/>
    </row>
    <row r="17" spans="1:22" x14ac:dyDescent="0.75">
      <c r="A17">
        <v>10</v>
      </c>
      <c r="B17" s="4">
        <v>66.2</v>
      </c>
      <c r="C17" s="4">
        <v>12</v>
      </c>
      <c r="D17" s="4">
        <f t="shared" si="0"/>
        <v>30</v>
      </c>
      <c r="E17" s="4">
        <v>269</v>
      </c>
      <c r="F17" s="1">
        <f t="shared" si="4"/>
        <v>2.6899999999999998E-4</v>
      </c>
      <c r="G17" s="2">
        <f t="shared" si="5"/>
        <v>2.8509110294682092</v>
      </c>
      <c r="H17" s="2">
        <f t="shared" si="6"/>
        <v>0.40890126599200266</v>
      </c>
      <c r="I17">
        <v>18.5</v>
      </c>
      <c r="J17" s="7">
        <f t="shared" si="1"/>
        <v>185</v>
      </c>
      <c r="K17" s="4">
        <f t="shared" si="2"/>
        <v>34225</v>
      </c>
      <c r="L17">
        <f t="shared" si="3"/>
        <v>527.4185404516187</v>
      </c>
      <c r="M17" s="9">
        <f>G17-P17*J17-R17</f>
        <v>1.3321430564352532E-3</v>
      </c>
      <c r="N17">
        <f>3*SUM(K17:K19)-(SUM(J17:J19))^2</f>
        <v>556322</v>
      </c>
      <c r="O17" s="12">
        <f>SUM(M17:M19)</f>
        <v>6.6613381477509392E-15</v>
      </c>
      <c r="P17" s="6">
        <f>(3*SUM(L17:L19)-SUM(G17:G19)*SUM(J17:J19))/N17</f>
        <v>1.4588172019695533E-3</v>
      </c>
      <c r="Q17" s="2">
        <f>O17*SQRT(3/N17)</f>
        <v>1.5468884267146918E-17</v>
      </c>
      <c r="R17" s="2">
        <f>(SUM(K17:K19)*SUM(G17:G19)-SUM(J17:J19)*SUM(L17:L19))/N17</f>
        <v>2.5796977040474065</v>
      </c>
      <c r="S17" s="2">
        <f>O17*SQRT(SUM(K17:K19)/N17)</f>
        <v>8.4904401832155879E-15</v>
      </c>
      <c r="T17" s="2">
        <f>1000*ATAN(P17)</f>
        <v>1.4588161671114184</v>
      </c>
      <c r="U17" s="2">
        <f t="shared" ref="U17" si="12">1000*ATAN(Q17)</f>
        <v>1.5468884267146917E-14</v>
      </c>
    </row>
    <row r="18" spans="1:22" x14ac:dyDescent="0.75">
      <c r="A18">
        <v>10</v>
      </c>
      <c r="B18" s="4">
        <v>66.3</v>
      </c>
      <c r="C18" s="4">
        <v>12</v>
      </c>
      <c r="D18" s="4">
        <f t="shared" si="0"/>
        <v>30</v>
      </c>
      <c r="E18" s="4">
        <v>310</v>
      </c>
      <c r="F18" s="1">
        <f t="shared" si="4"/>
        <v>3.1E-4</v>
      </c>
      <c r="G18" s="2">
        <f t="shared" si="5"/>
        <v>3.2903993973798054</v>
      </c>
      <c r="H18" s="2">
        <f t="shared" si="6"/>
        <v>0.47080440019717773</v>
      </c>
      <c r="I18">
        <v>48.9</v>
      </c>
      <c r="J18" s="7">
        <f t="shared" si="1"/>
        <v>489</v>
      </c>
      <c r="K18" s="4">
        <f t="shared" si="2"/>
        <v>239121</v>
      </c>
      <c r="L18">
        <f t="shared" si="3"/>
        <v>1609.0053053187248</v>
      </c>
      <c r="M18" s="9">
        <f>G18-P17*J18-R17</f>
        <v>-2.6599184307127821E-3</v>
      </c>
      <c r="O18" s="12"/>
      <c r="P18" s="6"/>
      <c r="Q18" s="2"/>
      <c r="R18" s="2"/>
      <c r="S18" s="2"/>
      <c r="T18" s="2"/>
      <c r="U18" s="2"/>
    </row>
    <row r="19" spans="1:22" x14ac:dyDescent="0.75">
      <c r="A19">
        <v>10</v>
      </c>
      <c r="B19" s="4">
        <v>65.900000000000006</v>
      </c>
      <c r="C19" s="4">
        <v>13</v>
      </c>
      <c r="D19" s="4">
        <f t="shared" si="0"/>
        <v>31</v>
      </c>
      <c r="E19" s="4">
        <v>343</v>
      </c>
      <c r="F19" s="1">
        <f t="shared" si="4"/>
        <v>3.4299999999999999E-4</v>
      </c>
      <c r="G19" s="2">
        <f t="shared" si="5"/>
        <v>3.7393263377855162</v>
      </c>
      <c r="H19" s="2">
        <f t="shared" si="6"/>
        <v>0.52779000930325959</v>
      </c>
      <c r="I19">
        <v>79.400000000000006</v>
      </c>
      <c r="J19" s="7">
        <f t="shared" si="1"/>
        <v>794</v>
      </c>
      <c r="K19" s="4">
        <f t="shared" si="2"/>
        <v>630436</v>
      </c>
      <c r="L19">
        <f t="shared" si="3"/>
        <v>2969.0251122016998</v>
      </c>
      <c r="M19" s="9">
        <f>G19-P17*J19-R17</f>
        <v>1.3277753742841902E-3</v>
      </c>
      <c r="O19" s="12"/>
      <c r="P19" s="6"/>
      <c r="Q19" s="2"/>
      <c r="R19" s="2"/>
      <c r="S19" s="2"/>
      <c r="T19" s="2"/>
      <c r="U19" s="2"/>
    </row>
    <row r="20" spans="1:22" x14ac:dyDescent="0.75">
      <c r="A20">
        <v>20</v>
      </c>
      <c r="B20" s="4">
        <v>65.599999999999994</v>
      </c>
      <c r="C20" s="4">
        <v>10</v>
      </c>
      <c r="D20" s="4">
        <f t="shared" si="0"/>
        <v>28</v>
      </c>
      <c r="E20" s="4">
        <v>331</v>
      </c>
      <c r="F20" s="1">
        <f t="shared" si="4"/>
        <v>3.3100000000000002E-4</v>
      </c>
      <c r="G20" s="2">
        <f t="shared" si="5"/>
        <v>3.2444568642671658</v>
      </c>
      <c r="H20" s="2">
        <f t="shared" si="6"/>
        <v>0.47701946116904886</v>
      </c>
      <c r="I20">
        <v>18.5</v>
      </c>
      <c r="J20" s="7">
        <f t="shared" si="1"/>
        <v>185</v>
      </c>
      <c r="K20" s="4">
        <f t="shared" si="2"/>
        <v>34225</v>
      </c>
      <c r="L20">
        <f t="shared" si="3"/>
        <v>600.22451988942566</v>
      </c>
      <c r="M20" s="9">
        <f>G20-P20*J20-R20</f>
        <v>2.8626948224810711E-2</v>
      </c>
      <c r="N20">
        <f>3*SUM(K20:K22)-(SUM(J20:J22))^2</f>
        <v>556322</v>
      </c>
      <c r="O20" s="12">
        <f>SUM(M20:M22)</f>
        <v>9.3258734068513149E-15</v>
      </c>
      <c r="P20" s="6">
        <f>(3*SUM(L20:L22)-SUM(G20:G22)*SUM(J20:J22))/N20</f>
        <v>2.1825236092361173E-3</v>
      </c>
      <c r="Q20" s="2">
        <f>O20*SQRT(3/N20)</f>
        <v>2.1656437974005685E-17</v>
      </c>
      <c r="R20" s="2">
        <f>(SUM(K20:K22)*SUM(G20:G22)-SUM(J20:J22)*SUM(L20:L22))/N20</f>
        <v>2.8120630483336733</v>
      </c>
      <c r="S20" s="2">
        <f>O20*SQRT(SUM(K20:K22)/N20)</f>
        <v>1.1886616256501824E-14</v>
      </c>
      <c r="T20" s="2">
        <f>1000*ATAN(P20)</f>
        <v>2.1825201438282655</v>
      </c>
      <c r="U20" s="2">
        <f>1000*ATAN(Q20)</f>
        <v>2.1656437974005686E-14</v>
      </c>
    </row>
    <row r="21" spans="1:22" x14ac:dyDescent="0.75">
      <c r="A21">
        <v>20</v>
      </c>
      <c r="B21" s="4">
        <v>64.900000000000006</v>
      </c>
      <c r="C21" s="4">
        <v>13</v>
      </c>
      <c r="D21" s="4">
        <f t="shared" si="0"/>
        <v>31</v>
      </c>
      <c r="E21" s="4">
        <v>356</v>
      </c>
      <c r="F21" s="1">
        <f t="shared" si="4"/>
        <v>3.5599999999999998E-4</v>
      </c>
      <c r="G21" s="2">
        <f t="shared" si="5"/>
        <v>3.8221570556471587</v>
      </c>
      <c r="H21" s="2">
        <f t="shared" si="6"/>
        <v>0.53943342272636285</v>
      </c>
      <c r="I21">
        <v>48.9</v>
      </c>
      <c r="J21" s="7">
        <f t="shared" si="1"/>
        <v>489</v>
      </c>
      <c r="K21" s="4">
        <f t="shared" si="2"/>
        <v>239121</v>
      </c>
      <c r="L21">
        <f t="shared" si="3"/>
        <v>1869.0348002114606</v>
      </c>
      <c r="M21" s="9">
        <f>G21-P20*J21-R20</f>
        <v>-5.7160037602975944E-2</v>
      </c>
      <c r="O21" s="12"/>
      <c r="P21" s="6"/>
      <c r="Q21" s="2"/>
      <c r="R21" s="2"/>
      <c r="S21" s="2"/>
      <c r="T21" s="2"/>
      <c r="U21" s="2"/>
    </row>
    <row r="22" spans="1:22" x14ac:dyDescent="0.75">
      <c r="A22">
        <v>20</v>
      </c>
      <c r="B22" s="4">
        <v>65.5</v>
      </c>
      <c r="C22" s="4">
        <v>12.5</v>
      </c>
      <c r="D22" s="4">
        <f t="shared" si="0"/>
        <v>30.5</v>
      </c>
      <c r="E22" s="4">
        <v>429</v>
      </c>
      <c r="F22" s="1">
        <f t="shared" si="4"/>
        <v>4.2900000000000002E-4</v>
      </c>
      <c r="G22" s="2">
        <f t="shared" si="5"/>
        <v>4.573519883445325</v>
      </c>
      <c r="H22" s="2">
        <f t="shared" si="6"/>
        <v>0.64816906389130335</v>
      </c>
      <c r="I22">
        <v>79.400000000000006</v>
      </c>
      <c r="J22" s="7">
        <f t="shared" si="1"/>
        <v>794</v>
      </c>
      <c r="K22" s="4">
        <f t="shared" si="2"/>
        <v>630436</v>
      </c>
      <c r="L22">
        <f t="shared" si="3"/>
        <v>3631.3747874555879</v>
      </c>
      <c r="M22" s="9">
        <f>G22-P20*J22-R20</f>
        <v>2.8533089378174559E-2</v>
      </c>
      <c r="O22" s="12"/>
      <c r="P22" s="6"/>
      <c r="Q22" s="2"/>
      <c r="R22" s="2"/>
      <c r="S22" s="2"/>
      <c r="T22" s="2"/>
      <c r="U22" s="2"/>
    </row>
    <row r="23" spans="1:22" x14ac:dyDescent="0.75">
      <c r="A23">
        <v>30</v>
      </c>
      <c r="B23" s="4">
        <v>65.400000000000006</v>
      </c>
      <c r="C23" s="4">
        <v>11</v>
      </c>
      <c r="D23" s="4">
        <f t="shared" si="0"/>
        <v>29</v>
      </c>
      <c r="E23" s="4">
        <v>334</v>
      </c>
      <c r="F23" s="1">
        <f t="shared" si="4"/>
        <v>3.3399999999999999E-4</v>
      </c>
      <c r="G23" s="2">
        <f t="shared" si="5"/>
        <v>3.3804487260928013</v>
      </c>
      <c r="H23" s="2">
        <f t="shared" si="6"/>
        <v>0.48986513508663987</v>
      </c>
      <c r="I23">
        <v>18.5</v>
      </c>
      <c r="J23" s="7">
        <f t="shared" si="1"/>
        <v>185</v>
      </c>
      <c r="K23" s="4">
        <f t="shared" si="2"/>
        <v>34225</v>
      </c>
      <c r="L23">
        <f t="shared" si="3"/>
        <v>625.38301432716821</v>
      </c>
      <c r="M23" s="9">
        <f>G23-P23*J23-R23</f>
        <v>-3.0635702984329605E-3</v>
      </c>
      <c r="N23">
        <f>3*SUM(K23:K25)-(SUM(J23:J25))^2</f>
        <v>556322</v>
      </c>
      <c r="O23" s="12">
        <f>SUM(M23:M25)</f>
        <v>2.2204460492503131E-15</v>
      </c>
      <c r="P23" s="6">
        <f>(3*SUM(L23:L25)-SUM(G23:G25)*SUM(J23:J25))/N23</f>
        <v>4.3903444379604943E-3</v>
      </c>
      <c r="Q23" s="2">
        <f>O23*SQRT(3/N23)</f>
        <v>5.1562947557156392E-18</v>
      </c>
      <c r="R23" s="2">
        <f>(SUM(K23:K25)*SUM(G23:G25)-SUM(J23:J25)*SUM(L23:L25))/N23</f>
        <v>2.5712985753685431</v>
      </c>
      <c r="S23" s="2">
        <f>O23*SQRT(SUM(K23:K25)/N23)</f>
        <v>2.8301467277385293E-15</v>
      </c>
      <c r="T23" s="2">
        <f>1000*ATAN(P23)</f>
        <v>4.3903162301418224</v>
      </c>
      <c r="U23" s="2">
        <f t="shared" ref="U23" si="13">1000*ATAN(Q23)</f>
        <v>5.1562947557156396E-15</v>
      </c>
    </row>
    <row r="24" spans="1:22" x14ac:dyDescent="0.75">
      <c r="A24">
        <v>30</v>
      </c>
      <c r="B24" s="4">
        <v>65.3</v>
      </c>
      <c r="C24" s="4">
        <v>12.5</v>
      </c>
      <c r="D24" s="4">
        <f t="shared" si="0"/>
        <v>30.5</v>
      </c>
      <c r="E24" s="4">
        <v>444.5</v>
      </c>
      <c r="F24" s="1">
        <f t="shared" si="4"/>
        <v>4.4450000000000002E-4</v>
      </c>
      <c r="G24" s="2">
        <f t="shared" si="5"/>
        <v>4.7242941016353122</v>
      </c>
      <c r="H24" s="2">
        <f t="shared" si="6"/>
        <v>0.66940645361613926</v>
      </c>
      <c r="I24">
        <v>48.9</v>
      </c>
      <c r="J24" s="7">
        <f t="shared" si="1"/>
        <v>489</v>
      </c>
      <c r="K24" s="4">
        <f t="shared" si="2"/>
        <v>239121</v>
      </c>
      <c r="L24">
        <f t="shared" si="3"/>
        <v>2310.1798156996679</v>
      </c>
      <c r="M24" s="9">
        <f>G24-P23*J24-R23</f>
        <v>6.1170961040875049E-3</v>
      </c>
      <c r="O24" s="12"/>
      <c r="P24" s="6"/>
      <c r="Q24" s="2"/>
      <c r="R24" s="2"/>
      <c r="S24" s="2"/>
      <c r="T24" s="2"/>
      <c r="U24" s="2"/>
    </row>
    <row r="25" spans="1:22" x14ac:dyDescent="0.75">
      <c r="A25">
        <v>30</v>
      </c>
      <c r="B25" s="4">
        <v>65.2</v>
      </c>
      <c r="C25" s="4">
        <v>12.5</v>
      </c>
      <c r="D25" s="4">
        <f t="shared" si="0"/>
        <v>30.5</v>
      </c>
      <c r="E25" s="4">
        <v>570.5</v>
      </c>
      <c r="F25" s="1">
        <f t="shared" si="4"/>
        <v>5.7050000000000004E-4</v>
      </c>
      <c r="G25" s="2">
        <f t="shared" si="5"/>
        <v>6.0541785333035234</v>
      </c>
      <c r="H25" s="2">
        <f t="shared" si="6"/>
        <v>0.85666268909736687</v>
      </c>
      <c r="I25">
        <v>79.400000000000006</v>
      </c>
      <c r="J25" s="7">
        <f t="shared" si="1"/>
        <v>794</v>
      </c>
      <c r="K25" s="4">
        <f t="shared" si="2"/>
        <v>630436</v>
      </c>
      <c r="L25">
        <f t="shared" si="3"/>
        <v>4807.0177554429974</v>
      </c>
      <c r="M25" s="9">
        <f>G25-P23*J25-R23</f>
        <v>-3.053525805652324E-3</v>
      </c>
      <c r="O25" s="12"/>
      <c r="P25" s="6"/>
      <c r="Q25" s="2"/>
      <c r="R25" s="2"/>
      <c r="S25" s="2"/>
      <c r="T25" s="2"/>
      <c r="U25" s="2"/>
    </row>
    <row r="26" spans="1:22" x14ac:dyDescent="0.75">
      <c r="A26">
        <v>40</v>
      </c>
      <c r="B26" s="4">
        <v>65.5</v>
      </c>
      <c r="C26" s="4">
        <v>11.5</v>
      </c>
      <c r="D26" s="4">
        <f t="shared" si="0"/>
        <v>29.5</v>
      </c>
      <c r="E26" s="4">
        <v>402</v>
      </c>
      <c r="F26" s="1">
        <f t="shared" si="4"/>
        <v>4.0200000000000001E-4</v>
      </c>
      <c r="G26" s="2">
        <f t="shared" si="5"/>
        <v>4.145162008313509</v>
      </c>
      <c r="H26" s="2">
        <f t="shared" si="6"/>
        <v>0.5954378834269356</v>
      </c>
      <c r="I26">
        <v>18.5</v>
      </c>
      <c r="J26" s="7">
        <f t="shared" si="1"/>
        <v>185</v>
      </c>
      <c r="K26" s="4">
        <f t="shared" si="2"/>
        <v>34225</v>
      </c>
      <c r="L26">
        <f t="shared" si="3"/>
        <v>766.85497153799918</v>
      </c>
      <c r="M26" s="9">
        <f>G26-P26*J26-R26</f>
        <v>7.011657041128494E-3</v>
      </c>
      <c r="N26">
        <f>3*SUM(K26:K28)-(SUM(J26:J28))^2</f>
        <v>556322</v>
      </c>
      <c r="O26" s="12">
        <f>SUM(M26:M28)</f>
        <v>7.1054273576010019E-15</v>
      </c>
      <c r="P26" s="6">
        <f>(3*SUM(L26:L28)-SUM(G26:G28)*SUM(J26:J28))/N26</f>
        <v>9.6883769580878402E-3</v>
      </c>
      <c r="Q26" s="2">
        <f>O26*SQRT(3/N26)</f>
        <v>1.6500143218290046E-17</v>
      </c>
      <c r="R26" s="2">
        <f>(SUM(K26:K28)*SUM(G26:G28)-SUM(J26:J28)*SUM(L26:L28))/N26</f>
        <v>2.34580061402613</v>
      </c>
      <c r="S26" s="2">
        <f>O26*SQRT(SUM(K26:K28)/N26)</f>
        <v>9.0564695287632944E-15</v>
      </c>
      <c r="T26" s="2">
        <f>1000*ATAN(P26)</f>
        <v>9.6880738431275049</v>
      </c>
      <c r="U26" s="2">
        <f>1000*ATAN(Q26)</f>
        <v>1.6500143218290045E-14</v>
      </c>
    </row>
    <row r="27" spans="1:22" x14ac:dyDescent="0.75">
      <c r="A27">
        <v>40</v>
      </c>
      <c r="B27" s="4">
        <v>65.400000000000006</v>
      </c>
      <c r="C27" s="4">
        <v>14</v>
      </c>
      <c r="D27" s="4">
        <f t="shared" si="0"/>
        <v>32</v>
      </c>
      <c r="E27" s="4">
        <v>633</v>
      </c>
      <c r="F27" s="1">
        <f t="shared" si="4"/>
        <v>6.3299999999999999E-4</v>
      </c>
      <c r="G27" s="2">
        <f t="shared" si="5"/>
        <v>7.0694166214883118</v>
      </c>
      <c r="H27" s="2">
        <f t="shared" si="6"/>
        <v>0.98217097711137047</v>
      </c>
      <c r="I27">
        <v>48.9</v>
      </c>
      <c r="J27" s="7">
        <f t="shared" si="1"/>
        <v>489</v>
      </c>
      <c r="K27" s="4">
        <f t="shared" si="2"/>
        <v>239121</v>
      </c>
      <c r="L27">
        <f t="shared" si="3"/>
        <v>3456.9447279077845</v>
      </c>
      <c r="M27" s="9">
        <f>G27-P26*J27-R26</f>
        <v>-1.4000325042772488E-2</v>
      </c>
      <c r="O27" s="9"/>
      <c r="P27" s="1"/>
      <c r="Q27" s="1"/>
      <c r="R27" s="2"/>
      <c r="S27" s="2"/>
      <c r="T27" s="2"/>
      <c r="V27" s="9"/>
    </row>
    <row r="28" spans="1:22" x14ac:dyDescent="0.75">
      <c r="A28">
        <v>40</v>
      </c>
      <c r="B28" s="4">
        <v>65.8</v>
      </c>
      <c r="C28" s="4">
        <v>14</v>
      </c>
      <c r="D28" s="4">
        <f t="shared" si="0"/>
        <v>32</v>
      </c>
      <c r="E28" s="4">
        <v>894</v>
      </c>
      <c r="F28" s="1">
        <f t="shared" si="4"/>
        <v>8.9400000000000005E-4</v>
      </c>
      <c r="G28" s="2">
        <f t="shared" si="5"/>
        <v>10.045360586749526</v>
      </c>
      <c r="H28" s="2">
        <f t="shared" si="6"/>
        <v>1.3941452778485359</v>
      </c>
      <c r="I28">
        <v>79.400000000000006</v>
      </c>
      <c r="J28" s="7">
        <f t="shared" si="1"/>
        <v>794</v>
      </c>
      <c r="K28" s="4">
        <f t="shared" si="2"/>
        <v>630436</v>
      </c>
      <c r="L28">
        <f t="shared" si="3"/>
        <v>7976.0163058791231</v>
      </c>
      <c r="M28" s="9">
        <f>G28-P26*J28-R26</f>
        <v>6.9886680016510994E-3</v>
      </c>
      <c r="O28" s="9"/>
      <c r="P28" s="1"/>
      <c r="Q28" s="1"/>
      <c r="R28" s="2"/>
      <c r="S28" s="2"/>
      <c r="T28" s="2"/>
      <c r="V28" s="9"/>
    </row>
    <row r="29" spans="1:22" x14ac:dyDescent="0.75">
      <c r="B29" t="s">
        <v>51</v>
      </c>
      <c r="I29" t="s">
        <v>46</v>
      </c>
    </row>
    <row r="30" spans="1:22" x14ac:dyDescent="0.75">
      <c r="B30" t="s">
        <v>52</v>
      </c>
    </row>
    <row r="36" spans="2:20" x14ac:dyDescent="0.75">
      <c r="B36" s="4"/>
      <c r="C36" s="3"/>
      <c r="D36" s="4"/>
      <c r="F36" s="1"/>
      <c r="G36" s="2"/>
      <c r="H36" s="2"/>
      <c r="I36" s="3"/>
      <c r="J36" s="4"/>
      <c r="K36" s="4"/>
      <c r="M36" s="9"/>
      <c r="O36" s="9"/>
      <c r="P36" s="1"/>
      <c r="Q36" s="1"/>
      <c r="R36" s="2"/>
      <c r="S36" s="2"/>
      <c r="T36" s="2"/>
    </row>
    <row r="37" spans="2:20" x14ac:dyDescent="0.75">
      <c r="B37" s="4"/>
      <c r="C37" s="3"/>
      <c r="D37" s="4"/>
      <c r="F37" s="1"/>
      <c r="G37" s="2"/>
      <c r="H37" s="2"/>
      <c r="I37" s="3"/>
      <c r="J37" s="4"/>
      <c r="K37" s="4"/>
      <c r="M37" s="9"/>
      <c r="O37" s="9"/>
      <c r="P37" s="1"/>
      <c r="Q37" s="1"/>
      <c r="R37" s="2"/>
      <c r="S37" s="2"/>
      <c r="T37" s="2"/>
    </row>
    <row r="42" spans="2:20" x14ac:dyDescent="0.75">
      <c r="B42" s="4"/>
      <c r="C42" s="3"/>
      <c r="D42" s="4"/>
      <c r="F42" s="1"/>
      <c r="G42" s="2"/>
      <c r="H42" s="2"/>
      <c r="I42" s="3"/>
      <c r="J42" s="4"/>
      <c r="K42" s="4"/>
      <c r="M42" s="9"/>
      <c r="O42" s="9"/>
      <c r="P42" s="1"/>
      <c r="Q42" s="1"/>
      <c r="R42" s="2"/>
      <c r="S42" s="2"/>
      <c r="T42" s="2"/>
    </row>
    <row r="43" spans="2:20" x14ac:dyDescent="0.75">
      <c r="B43" s="4"/>
      <c r="C43" s="3"/>
      <c r="D43" s="4"/>
      <c r="F43" s="1"/>
      <c r="G43" s="2"/>
      <c r="H43" s="2"/>
      <c r="I43" s="3"/>
      <c r="J43" s="4"/>
      <c r="K43" s="4"/>
      <c r="M43" s="9"/>
      <c r="O43" s="9"/>
      <c r="P43" s="1"/>
      <c r="Q43" s="1"/>
      <c r="R43" s="2"/>
      <c r="S43" s="2"/>
      <c r="T43" s="2"/>
    </row>
    <row r="44" spans="2:20" x14ac:dyDescent="0.75">
      <c r="B44" s="4"/>
      <c r="C44" s="3"/>
      <c r="D44" s="4"/>
      <c r="F44" s="1"/>
      <c r="G44" s="2"/>
      <c r="H44" s="2"/>
      <c r="I44" s="3"/>
      <c r="J44" s="4"/>
      <c r="K44" s="4"/>
      <c r="M44" s="9"/>
      <c r="O44" s="9"/>
      <c r="P44" s="1"/>
      <c r="Q44" s="1"/>
      <c r="R44" s="2"/>
      <c r="S44" s="2"/>
      <c r="T44" s="2"/>
    </row>
    <row r="45" spans="2:20" x14ac:dyDescent="0.75">
      <c r="B45" s="4"/>
      <c r="C45" s="3"/>
      <c r="D45" s="4"/>
      <c r="F45" s="1"/>
      <c r="G45" s="2"/>
      <c r="H45" s="2"/>
      <c r="I45" s="3"/>
      <c r="J45" s="4"/>
      <c r="K45" s="4"/>
      <c r="M45" s="9"/>
      <c r="O45" s="9"/>
      <c r="P45" s="1"/>
      <c r="Q45" s="1"/>
      <c r="R45" s="2"/>
      <c r="S45" s="2"/>
      <c r="T45" s="2"/>
    </row>
    <row r="46" spans="2:20" x14ac:dyDescent="0.75">
      <c r="B46" s="4"/>
      <c r="C46" s="3"/>
      <c r="D46" s="4"/>
      <c r="F46" s="1"/>
      <c r="G46" s="2"/>
      <c r="H46" s="2"/>
      <c r="I46" s="3"/>
      <c r="J46" s="4"/>
      <c r="K46" s="4"/>
      <c r="M46" s="9"/>
      <c r="O46" s="9"/>
      <c r="P46" s="1"/>
      <c r="Q46" s="1"/>
      <c r="R46" s="2"/>
      <c r="S46" s="2"/>
      <c r="T46" s="2"/>
    </row>
    <row r="47" spans="2:20" x14ac:dyDescent="0.75">
      <c r="B47" s="4"/>
      <c r="C47" s="3"/>
      <c r="D47" s="4"/>
      <c r="F47" s="1"/>
      <c r="G47" s="2"/>
      <c r="H47" s="2"/>
      <c r="I47" s="3"/>
      <c r="J47" s="4"/>
      <c r="K47" s="4"/>
      <c r="M47" s="9"/>
      <c r="O47" s="9"/>
      <c r="P47" s="1"/>
      <c r="Q47" s="1"/>
      <c r="R47" s="2"/>
      <c r="S47" s="2"/>
      <c r="T47" s="2"/>
    </row>
    <row r="48" spans="2:20" x14ac:dyDescent="0.75">
      <c r="B48" s="4"/>
      <c r="C48" s="3"/>
      <c r="D48" s="4"/>
      <c r="F48" s="1"/>
      <c r="G48" s="2"/>
      <c r="H48" s="2"/>
      <c r="I48" s="3"/>
      <c r="J48" s="4"/>
      <c r="K48" s="4"/>
      <c r="M48" s="9"/>
      <c r="O48" s="9"/>
      <c r="P48" s="1"/>
      <c r="Q48" s="1"/>
      <c r="R48" s="2"/>
      <c r="S48" s="2"/>
      <c r="T48" s="2"/>
    </row>
    <row r="49" spans="2:20" x14ac:dyDescent="0.75">
      <c r="B49" s="4"/>
      <c r="C49" s="3"/>
      <c r="D49" s="4"/>
      <c r="F49" s="1"/>
      <c r="G49" s="2"/>
      <c r="H49" s="2"/>
      <c r="I49" s="3"/>
      <c r="J49" s="4"/>
      <c r="K49" s="4"/>
      <c r="M49" s="9"/>
      <c r="O49" s="9"/>
      <c r="P49" s="1"/>
      <c r="Q49" s="1"/>
      <c r="R49" s="2"/>
      <c r="S49" s="2"/>
      <c r="T49" s="2"/>
    </row>
    <row r="50" spans="2:20" x14ac:dyDescent="0.75">
      <c r="B50" s="4"/>
      <c r="C50" s="3"/>
      <c r="D50" s="4"/>
      <c r="F50" s="1"/>
      <c r="G50" s="2"/>
      <c r="H50" s="2"/>
      <c r="I50" s="3"/>
      <c r="J50" s="4"/>
      <c r="K50" s="4"/>
      <c r="M50" s="9"/>
      <c r="O50" s="9"/>
      <c r="P50" s="1"/>
      <c r="Q50" s="1"/>
      <c r="R50" s="2"/>
      <c r="S50" s="2"/>
      <c r="T50" s="2"/>
    </row>
    <row r="51" spans="2:20" x14ac:dyDescent="0.75">
      <c r="B51" s="4"/>
      <c r="C51" s="3"/>
      <c r="D51" s="4"/>
      <c r="F51" s="1"/>
      <c r="G51" s="2"/>
      <c r="H51" s="2"/>
      <c r="I51" s="3"/>
      <c r="J51" s="4"/>
      <c r="K51" s="4"/>
      <c r="M51" s="9"/>
      <c r="O51" s="9"/>
      <c r="P51" s="1"/>
      <c r="Q51" s="1"/>
      <c r="R51" s="2"/>
      <c r="S51" s="2"/>
      <c r="T51" s="2"/>
    </row>
    <row r="52" spans="2:20" x14ac:dyDescent="0.75">
      <c r="B52" s="4"/>
      <c r="C52" s="3"/>
      <c r="D52" s="4"/>
      <c r="F52" s="1"/>
      <c r="G52" s="2"/>
      <c r="H52" s="2"/>
      <c r="I52" s="3"/>
      <c r="J52" s="4"/>
      <c r="K52" s="4"/>
      <c r="M52" s="9"/>
      <c r="O52" s="9"/>
      <c r="P52" s="1"/>
      <c r="Q52" s="1"/>
      <c r="R52" s="2"/>
      <c r="S52" s="2"/>
      <c r="T52" s="2"/>
    </row>
    <row r="53" spans="2:20" x14ac:dyDescent="0.75">
      <c r="B53" s="4"/>
      <c r="C53" s="3"/>
      <c r="D53" s="4"/>
      <c r="F53" s="1"/>
      <c r="G53" s="2"/>
      <c r="H53" s="2"/>
      <c r="I53" s="3"/>
      <c r="J53" s="4"/>
      <c r="K53" s="4"/>
      <c r="M53" s="9"/>
      <c r="O53" s="9"/>
      <c r="P53" s="1"/>
      <c r="Q53" s="1"/>
      <c r="R53" s="2"/>
      <c r="S53" s="2"/>
      <c r="T53" s="2"/>
    </row>
    <row r="63" spans="2:20" x14ac:dyDescent="0.75">
      <c r="B63" s="4"/>
      <c r="C63" s="3"/>
      <c r="D63" s="4"/>
      <c r="F63" s="1"/>
      <c r="G63" s="2"/>
      <c r="H63" s="2"/>
      <c r="I63" s="3"/>
      <c r="J63" s="4"/>
      <c r="K63" s="4"/>
      <c r="M63" s="9"/>
      <c r="O63" s="9"/>
      <c r="P63" s="1"/>
      <c r="Q63" s="1"/>
      <c r="R63" s="2"/>
      <c r="S63" s="2"/>
      <c r="T63" s="2"/>
    </row>
    <row r="64" spans="2:20" x14ac:dyDescent="0.75">
      <c r="B64" s="4"/>
      <c r="C64" s="3"/>
      <c r="D64" s="4"/>
      <c r="F64" s="1"/>
      <c r="G64" s="2"/>
      <c r="H64" s="2"/>
      <c r="I64" s="3"/>
      <c r="J64" s="4"/>
      <c r="K64" s="4"/>
      <c r="M64" s="9"/>
      <c r="O64" s="9"/>
      <c r="P64" s="1"/>
      <c r="Q64" s="1"/>
      <c r="R64" s="2"/>
      <c r="S64" s="2"/>
      <c r="T64" s="2"/>
    </row>
    <row r="65" spans="2:20" x14ac:dyDescent="0.75">
      <c r="B65" s="4"/>
      <c r="C65" s="3"/>
      <c r="D65" s="4"/>
      <c r="F65" s="1"/>
      <c r="G65" s="2"/>
      <c r="H65" s="2"/>
      <c r="I65" s="3"/>
      <c r="J65" s="4"/>
      <c r="K65" s="4"/>
      <c r="M65" s="9"/>
      <c r="O65" s="9"/>
      <c r="P65" s="1"/>
      <c r="Q65" s="1"/>
      <c r="R65" s="2"/>
      <c r="S65" s="2"/>
      <c r="T65" s="2"/>
    </row>
    <row r="66" spans="2:20" x14ac:dyDescent="0.75">
      <c r="B66" s="4"/>
      <c r="C66" s="3"/>
      <c r="D66" s="4"/>
      <c r="F66" s="1"/>
      <c r="G66" s="2"/>
      <c r="H66" s="2"/>
      <c r="I66" s="3"/>
      <c r="J66" s="4"/>
      <c r="K66" s="4"/>
      <c r="M66" s="9"/>
      <c r="O66" s="9"/>
      <c r="P66" s="1"/>
      <c r="Q66" s="1"/>
      <c r="R66" s="2"/>
      <c r="S66" s="2"/>
      <c r="T66" s="2"/>
    </row>
    <row r="67" spans="2:20" x14ac:dyDescent="0.75">
      <c r="B67" s="4"/>
      <c r="C67" s="3"/>
      <c r="D67" s="4"/>
      <c r="F67" s="1"/>
      <c r="G67" s="2"/>
      <c r="H67" s="2"/>
      <c r="I67" s="3"/>
      <c r="J67" s="4"/>
      <c r="K67" s="4"/>
      <c r="M67" s="9"/>
      <c r="O67" s="9"/>
      <c r="P67" s="1"/>
      <c r="Q67" s="1"/>
      <c r="R67" s="2"/>
      <c r="S67" s="2"/>
      <c r="T67" s="2"/>
    </row>
    <row r="68" spans="2:20" x14ac:dyDescent="0.75">
      <c r="B68" s="4"/>
      <c r="C68" s="3"/>
      <c r="D68" s="4"/>
      <c r="F68" s="1"/>
      <c r="G68" s="2"/>
      <c r="H68" s="2"/>
      <c r="I68" s="3"/>
      <c r="J68" s="4"/>
      <c r="K68" s="4"/>
      <c r="M68" s="9"/>
      <c r="O68" s="9"/>
      <c r="P68" s="1"/>
      <c r="Q68" s="1"/>
      <c r="R68" s="2"/>
      <c r="S68" s="2"/>
      <c r="T68" s="2"/>
    </row>
    <row r="69" spans="2:20" x14ac:dyDescent="0.75">
      <c r="B69" s="4"/>
      <c r="C69" s="3"/>
      <c r="D69" s="4"/>
      <c r="F69" s="1"/>
      <c r="G69" s="2"/>
      <c r="H69" s="2"/>
      <c r="I69" s="3"/>
      <c r="J69" s="4"/>
      <c r="K69" s="4"/>
      <c r="M69" s="9"/>
      <c r="O69" s="9"/>
      <c r="P69" s="1"/>
      <c r="Q69" s="1"/>
      <c r="R69" s="2"/>
      <c r="S69" s="2"/>
      <c r="T69" s="2"/>
    </row>
    <row r="73" spans="2:20" x14ac:dyDescent="0.75">
      <c r="B73" s="4"/>
      <c r="C73" s="3"/>
      <c r="D73" s="4"/>
      <c r="F73" s="1"/>
      <c r="G73" s="2"/>
      <c r="H73" s="2"/>
      <c r="I73" s="3"/>
      <c r="J73" s="4"/>
      <c r="K73" s="4"/>
      <c r="M73" s="9"/>
      <c r="O73" s="9"/>
      <c r="P73" s="1"/>
      <c r="Q73" s="1"/>
      <c r="R73" s="2"/>
      <c r="S73" s="2"/>
      <c r="T73" s="2"/>
    </row>
    <row r="74" spans="2:20" x14ac:dyDescent="0.75">
      <c r="B74" s="4"/>
      <c r="C74" s="3"/>
      <c r="D74" s="4"/>
      <c r="F74" s="1"/>
      <c r="G74" s="2"/>
      <c r="H74" s="2"/>
      <c r="I74" s="3"/>
      <c r="J74" s="4"/>
      <c r="K74" s="4"/>
      <c r="M74" s="9"/>
      <c r="O74" s="9"/>
      <c r="P74" s="1"/>
      <c r="Q74" s="1"/>
      <c r="R74" s="2"/>
      <c r="S74" s="2"/>
      <c r="T74" s="2"/>
    </row>
    <row r="75" spans="2:20" x14ac:dyDescent="0.75">
      <c r="B75" s="4"/>
      <c r="C75" s="3"/>
      <c r="D75" s="4"/>
      <c r="F75" s="1"/>
      <c r="G75" s="2"/>
      <c r="H75" s="2"/>
      <c r="I75" s="3"/>
      <c r="J75" s="4"/>
      <c r="K75" s="4"/>
      <c r="M75" s="9"/>
      <c r="O75" s="9"/>
      <c r="P75" s="1"/>
      <c r="Q75" s="1"/>
      <c r="R75" s="2"/>
      <c r="S75" s="2"/>
      <c r="T75" s="2"/>
    </row>
    <row r="76" spans="2:20" x14ac:dyDescent="0.75">
      <c r="B76" s="4"/>
      <c r="C76" s="3"/>
      <c r="D76" s="4"/>
      <c r="F76" s="1"/>
      <c r="G76" s="2"/>
      <c r="H76" s="2"/>
      <c r="I76" s="3"/>
      <c r="J76" s="4"/>
      <c r="K76" s="4"/>
      <c r="M76" s="9"/>
      <c r="O76" s="9"/>
      <c r="P76" s="1"/>
      <c r="Q76" s="1"/>
      <c r="R76" s="2"/>
      <c r="S76" s="2"/>
      <c r="T76" s="2"/>
    </row>
    <row r="77" spans="2:20" x14ac:dyDescent="0.75">
      <c r="B77" s="4"/>
      <c r="C77" s="3"/>
      <c r="D77" s="4"/>
      <c r="F77" s="1"/>
      <c r="G77" s="2"/>
      <c r="H77" s="2"/>
      <c r="I77" s="3"/>
      <c r="J77" s="4"/>
      <c r="K77" s="4"/>
      <c r="M77" s="9"/>
      <c r="O77" s="9"/>
      <c r="P77" s="1"/>
      <c r="Q77" s="1"/>
      <c r="R77" s="2"/>
      <c r="S77" s="2"/>
      <c r="T77" s="2"/>
    </row>
    <row r="78" spans="2:20" x14ac:dyDescent="0.75">
      <c r="B78" s="4"/>
      <c r="C78" s="3"/>
      <c r="D78" s="4"/>
      <c r="F78" s="1"/>
      <c r="G78" s="2"/>
      <c r="H78" s="2"/>
      <c r="I78" s="3"/>
      <c r="J78" s="4"/>
      <c r="K78" s="4"/>
      <c r="M78" s="9"/>
      <c r="O78" s="9"/>
      <c r="P78" s="1"/>
      <c r="Q78" s="1"/>
      <c r="R78" s="2"/>
      <c r="S78" s="2"/>
      <c r="T78" s="2"/>
    </row>
    <row r="79" spans="2:20" x14ac:dyDescent="0.75">
      <c r="B79" s="4"/>
      <c r="C79" s="3"/>
      <c r="D79" s="4"/>
      <c r="F79" s="1"/>
      <c r="G79" s="2"/>
      <c r="H79" s="2"/>
      <c r="I79" s="3"/>
      <c r="J79" s="4"/>
      <c r="K79" s="4"/>
      <c r="M79" s="9"/>
      <c r="O79" s="9"/>
      <c r="P79" s="1"/>
      <c r="Q79" s="1"/>
      <c r="R79" s="2"/>
      <c r="S79" s="2"/>
      <c r="T79" s="2"/>
    </row>
    <row r="80" spans="2:20" x14ac:dyDescent="0.75">
      <c r="B80" s="4"/>
      <c r="C80" s="3"/>
      <c r="D80" s="4"/>
      <c r="F80" s="1"/>
      <c r="G80" s="2"/>
      <c r="H80" s="2"/>
      <c r="I80" s="3"/>
      <c r="J80" s="4"/>
      <c r="K80" s="4"/>
      <c r="M80" s="9"/>
      <c r="O80" s="9"/>
      <c r="P80" s="1"/>
      <c r="Q80" s="1"/>
      <c r="R80" s="2"/>
      <c r="S80" s="2"/>
      <c r="T80" s="2"/>
    </row>
    <row r="81" spans="2:22" x14ac:dyDescent="0.75">
      <c r="B81" s="4"/>
      <c r="C81" s="3"/>
      <c r="D81" s="4"/>
      <c r="F81" s="1"/>
      <c r="G81" s="2"/>
      <c r="H81" s="2"/>
      <c r="I81" s="3"/>
      <c r="J81" s="4"/>
      <c r="K81" s="4"/>
      <c r="M81" s="9"/>
      <c r="O81" s="9"/>
      <c r="P81" s="1"/>
      <c r="Q81" s="1"/>
      <c r="R81" s="2"/>
      <c r="S81" s="2"/>
      <c r="T81" s="2"/>
    </row>
    <row r="82" spans="2:22" x14ac:dyDescent="0.75">
      <c r="B82" s="4"/>
      <c r="C82" s="3"/>
      <c r="D82" s="4"/>
      <c r="F82" s="1"/>
      <c r="G82" s="2"/>
      <c r="H82" s="2"/>
      <c r="I82" s="3"/>
      <c r="J82" s="4"/>
      <c r="K82" s="4"/>
      <c r="M82" s="9"/>
      <c r="O82" s="9"/>
      <c r="P82" s="1"/>
      <c r="Q82" s="1"/>
      <c r="R82" s="2"/>
      <c r="S82" s="2"/>
      <c r="T82" s="2"/>
    </row>
    <row r="83" spans="2:22" x14ac:dyDescent="0.75">
      <c r="B83" s="4"/>
      <c r="C83" s="3"/>
      <c r="D83" s="4"/>
      <c r="F83" s="1"/>
      <c r="G83" s="2"/>
      <c r="H83" s="2"/>
      <c r="I83" s="3"/>
      <c r="J83" s="4"/>
      <c r="K83" s="4"/>
      <c r="M83" s="9"/>
      <c r="O83" s="9"/>
      <c r="P83" s="1"/>
      <c r="Q83" s="1"/>
      <c r="R83" s="2"/>
      <c r="S83" s="2"/>
      <c r="T83" s="2"/>
    </row>
    <row r="84" spans="2:22" x14ac:dyDescent="0.75">
      <c r="B84" s="4"/>
      <c r="C84" s="3"/>
      <c r="D84" s="4"/>
      <c r="F84" s="1"/>
      <c r="G84" s="2"/>
      <c r="H84" s="2"/>
      <c r="I84" s="3"/>
      <c r="J84" s="4"/>
      <c r="K84" s="4"/>
      <c r="M84" s="9"/>
      <c r="O84" s="9"/>
      <c r="P84" s="1"/>
      <c r="Q84" s="1"/>
      <c r="R84" s="2"/>
      <c r="S84" s="2"/>
      <c r="T84" s="2"/>
    </row>
    <row r="85" spans="2:22" x14ac:dyDescent="0.75">
      <c r="B85" s="4"/>
      <c r="C85" s="3"/>
      <c r="D85" s="4"/>
      <c r="F85" s="1"/>
      <c r="G85" s="2"/>
      <c r="H85" s="2"/>
      <c r="I85" s="3"/>
      <c r="J85" s="4"/>
      <c r="K85" s="4"/>
      <c r="M85" s="9"/>
      <c r="O85" s="9"/>
      <c r="P85" s="1"/>
      <c r="Q85" s="1"/>
      <c r="R85" s="2"/>
      <c r="S85" s="2"/>
      <c r="T85" s="2"/>
    </row>
    <row r="89" spans="2:22" x14ac:dyDescent="0.75">
      <c r="B89" s="4"/>
      <c r="C89" s="3"/>
      <c r="D89" s="4"/>
      <c r="F89" s="1"/>
      <c r="G89" s="2"/>
      <c r="H89" s="2"/>
      <c r="I89" s="3"/>
      <c r="J89" s="4"/>
      <c r="K89" s="4"/>
      <c r="M89" s="9"/>
      <c r="O89" s="9"/>
      <c r="P89" s="1"/>
      <c r="Q89" s="1"/>
      <c r="R89" s="2"/>
      <c r="S89" s="2"/>
      <c r="T89" s="2"/>
      <c r="V89" s="9"/>
    </row>
    <row r="90" spans="2:22" x14ac:dyDescent="0.75">
      <c r="B90" s="4"/>
      <c r="D90" s="4"/>
      <c r="F90" s="1"/>
      <c r="G90" s="2"/>
      <c r="H90" s="2"/>
      <c r="I90" s="1"/>
      <c r="J90" s="4"/>
      <c r="K90" s="4"/>
      <c r="M90" s="9"/>
      <c r="O90" s="9"/>
      <c r="P90" s="1"/>
      <c r="Q90" s="1"/>
      <c r="R90" s="2"/>
      <c r="S90" s="2"/>
      <c r="T90" s="2"/>
    </row>
    <row r="91" spans="2:22" x14ac:dyDescent="0.75">
      <c r="B91" s="4"/>
      <c r="D91" s="4"/>
      <c r="F91" s="1"/>
      <c r="G91" s="2"/>
      <c r="H91" s="2"/>
      <c r="J91" s="4"/>
      <c r="K91" s="4"/>
      <c r="M91" s="9"/>
      <c r="O91" s="9"/>
      <c r="P91" s="1"/>
      <c r="Q91" s="1"/>
      <c r="R91" s="2"/>
      <c r="S91" s="2"/>
      <c r="T91" s="2"/>
      <c r="V91" s="8"/>
    </row>
    <row r="92" spans="2:22" x14ac:dyDescent="0.75">
      <c r="B92" s="4"/>
      <c r="D92" s="4"/>
      <c r="F92" s="1"/>
      <c r="G92" s="2"/>
      <c r="H92" s="2"/>
      <c r="J92" s="4"/>
      <c r="K92" s="4"/>
      <c r="M92" s="9"/>
      <c r="O92" s="9"/>
      <c r="P92" s="1"/>
      <c r="Q92" s="1"/>
      <c r="R92" s="2"/>
      <c r="S92" s="2"/>
      <c r="T92" s="2"/>
    </row>
    <row r="93" spans="2:22" x14ac:dyDescent="0.75">
      <c r="B93" s="4"/>
      <c r="D93" s="4"/>
      <c r="F93" s="1"/>
      <c r="G93" s="2"/>
      <c r="H93" s="2"/>
      <c r="J93" s="4"/>
      <c r="K93" s="4"/>
      <c r="M93" s="9"/>
      <c r="O93" s="9"/>
      <c r="P93" s="1"/>
      <c r="Q93" s="1"/>
      <c r="R93" s="2"/>
      <c r="S93" s="2"/>
      <c r="T93" s="2"/>
    </row>
    <row r="94" spans="2:22" x14ac:dyDescent="0.75">
      <c r="B94" s="4"/>
      <c r="D94" s="4"/>
      <c r="F94" s="1"/>
      <c r="G94" s="2"/>
      <c r="H94" s="2"/>
      <c r="J94" s="4"/>
      <c r="K94" s="4"/>
      <c r="M94" s="9"/>
      <c r="O94" s="9"/>
      <c r="P94" s="1"/>
      <c r="Q94" s="1"/>
      <c r="R94" s="2"/>
      <c r="S94" s="2"/>
      <c r="T94" s="2"/>
    </row>
    <row r="95" spans="2:22" x14ac:dyDescent="0.75">
      <c r="B95" s="4"/>
      <c r="D95" s="4"/>
      <c r="F95" s="1"/>
      <c r="G95" s="2"/>
      <c r="H95" s="2"/>
      <c r="J95" s="4"/>
      <c r="K95" s="4"/>
      <c r="M95" s="9"/>
      <c r="O95" s="9"/>
      <c r="P95" s="1"/>
      <c r="Q95" s="1"/>
      <c r="R95" s="2"/>
      <c r="S95" s="2"/>
      <c r="T95" s="2"/>
    </row>
    <row r="96" spans="2:22" x14ac:dyDescent="0.75">
      <c r="B96" s="4"/>
      <c r="D96" s="4"/>
      <c r="F96" s="1"/>
      <c r="G96" s="2"/>
      <c r="H96" s="2"/>
      <c r="J96" s="4"/>
      <c r="K96" s="4"/>
      <c r="M96" s="9"/>
      <c r="O96" s="9"/>
      <c r="P96" s="1"/>
      <c r="Q96" s="1"/>
      <c r="R96" s="2"/>
      <c r="S96" s="2"/>
      <c r="T96" s="2"/>
    </row>
    <row r="97" spans="2:20" x14ac:dyDescent="0.75">
      <c r="B97" s="4"/>
      <c r="D97" s="4"/>
      <c r="F97" s="1"/>
      <c r="G97" s="2"/>
      <c r="H97" s="2"/>
      <c r="J97" s="4"/>
      <c r="K97" s="4"/>
      <c r="M97" s="9"/>
      <c r="O97" s="9"/>
      <c r="P97" s="1"/>
      <c r="Q97" s="1"/>
      <c r="R97" s="2"/>
      <c r="S97" s="2"/>
      <c r="T9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9DBD-E13B-4C0F-A76C-495035194695}">
  <dimension ref="A1:O7"/>
  <sheetViews>
    <sheetView workbookViewId="0">
      <selection activeCell="G12" sqref="G12"/>
    </sheetView>
  </sheetViews>
  <sheetFormatPr defaultRowHeight="14.75" x14ac:dyDescent="0.75"/>
  <cols>
    <col min="1" max="1" width="9.26953125" bestFit="1" customWidth="1"/>
    <col min="2" max="2" width="6.1328125" bestFit="1" customWidth="1"/>
    <col min="3" max="3" width="6.7265625" bestFit="1" customWidth="1"/>
    <col min="4" max="5" width="6" bestFit="1" customWidth="1"/>
    <col min="6" max="6" width="5" bestFit="1" customWidth="1"/>
    <col min="7" max="7" width="19.26953125" bestFit="1" customWidth="1"/>
    <col min="9" max="9" width="12.40625" bestFit="1" customWidth="1"/>
    <col min="10" max="10" width="9.40625" customWidth="1"/>
    <col min="12" max="13" width="8.26953125" bestFit="1" customWidth="1"/>
    <col min="14" max="14" width="9.86328125" bestFit="1" customWidth="1"/>
    <col min="15" max="15" width="17.26953125" bestFit="1" customWidth="1"/>
  </cols>
  <sheetData>
    <row r="1" spans="1:15" x14ac:dyDescent="0.75">
      <c r="A1" t="s">
        <v>54</v>
      </c>
      <c r="B1" t="s">
        <v>29</v>
      </c>
      <c r="C1" t="s">
        <v>30</v>
      </c>
      <c r="D1" t="s">
        <v>31</v>
      </c>
      <c r="E1" t="s">
        <v>32</v>
      </c>
      <c r="F1" t="s">
        <v>27</v>
      </c>
      <c r="G1" t="s">
        <v>8</v>
      </c>
      <c r="I1" t="s">
        <v>36</v>
      </c>
      <c r="J1" t="s">
        <v>5</v>
      </c>
      <c r="L1" t="s">
        <v>6</v>
      </c>
      <c r="M1" s="11" t="s">
        <v>43</v>
      </c>
      <c r="N1" t="s">
        <v>44</v>
      </c>
      <c r="O1" s="2" t="s">
        <v>45</v>
      </c>
    </row>
    <row r="2" spans="1:15" x14ac:dyDescent="0.75">
      <c r="A2">
        <v>1</v>
      </c>
      <c r="B2">
        <v>-40</v>
      </c>
      <c r="C2">
        <v>-63</v>
      </c>
      <c r="D2">
        <f>RADIANS(B2)</f>
        <v>-0.69813170079773179</v>
      </c>
      <c r="E2">
        <f>RADIANS(C2)</f>
        <v>-1.0995574287564276</v>
      </c>
      <c r="F2">
        <v>305</v>
      </c>
      <c r="G2">
        <f>IF(C2=0,0,1000*((2*Delta*Lambda^2*ABS(TAN(D2)-TAN(E2)))/(t*PI()^2*F2*SIN(2*a)))^(1/4))</f>
        <v>23.738391834636623</v>
      </c>
      <c r="I2">
        <f>IF(C2=0,0,(B2-C2)/F2)</f>
        <v>7.5409836065573776E-2</v>
      </c>
      <c r="J2">
        <f>TAN(G2)</f>
        <v>-5.6084882903986806</v>
      </c>
      <c r="L2" s="11">
        <v>5.6720000000000002E-4</v>
      </c>
      <c r="M2" s="11">
        <v>6.3279999999999999E-4</v>
      </c>
      <c r="N2">
        <v>0.75</v>
      </c>
      <c r="O2">
        <f>PI()/4</f>
        <v>0.78539816339744828</v>
      </c>
    </row>
    <row r="3" spans="1:15" x14ac:dyDescent="0.75">
      <c r="A3">
        <v>2</v>
      </c>
      <c r="B3">
        <v>-30</v>
      </c>
      <c r="C3">
        <v>-41</v>
      </c>
      <c r="D3">
        <f t="shared" ref="D3:D6" si="0">RADIANS(B3)</f>
        <v>-0.52359877559829882</v>
      </c>
      <c r="E3">
        <f t="shared" ref="E3:E6" si="1">RADIANS(C3)</f>
        <v>-0.71558499331767511</v>
      </c>
      <c r="F3">
        <v>305</v>
      </c>
      <c r="G3">
        <f>IF(C3=0,0,1000*((2*Delta*Lambda^2*ABS(TAN(D3)-TAN(E3)))/(t*PI()^2*F3*SIN(2*a)))^(1/4))</f>
        <v>16.948413910567716</v>
      </c>
      <c r="I3">
        <f t="shared" ref="I3:I6" si="2">IF(C3=0,0,(B3-C3)/F3)</f>
        <v>3.6065573770491806E-2</v>
      </c>
      <c r="J3">
        <f t="shared" ref="J3:J6" si="3">TAN(G3)</f>
        <v>2.9162072670076076</v>
      </c>
      <c r="N3" s="13" t="s">
        <v>50</v>
      </c>
    </row>
    <row r="4" spans="1:15" x14ac:dyDescent="0.75">
      <c r="A4">
        <v>3</v>
      </c>
      <c r="B4">
        <v>-20</v>
      </c>
      <c r="C4">
        <v>-24</v>
      </c>
      <c r="D4">
        <f t="shared" si="0"/>
        <v>-0.3490658503988659</v>
      </c>
      <c r="E4">
        <f t="shared" si="1"/>
        <v>-0.41887902047863912</v>
      </c>
      <c r="F4">
        <v>305</v>
      </c>
      <c r="G4">
        <f>IF(C4=0,0,1000*((2*Delta*Lambda^2*ABS(TAN(D4)-TAN(E4)))/(t*PI()^2*F4*SIN(2*a)))^(1/4))</f>
        <v>12.310455114794445</v>
      </c>
      <c r="I4">
        <f t="shared" si="2"/>
        <v>1.3114754098360656E-2</v>
      </c>
      <c r="J4">
        <f t="shared" si="3"/>
        <v>-0.26165271428726466</v>
      </c>
    </row>
    <row r="5" spans="1:15" x14ac:dyDescent="0.75">
      <c r="A5">
        <v>4</v>
      </c>
      <c r="B5">
        <v>-10</v>
      </c>
      <c r="C5">
        <v>-11</v>
      </c>
      <c r="D5">
        <f t="shared" si="0"/>
        <v>-0.17453292519943295</v>
      </c>
      <c r="E5">
        <f t="shared" si="1"/>
        <v>-0.19198621771937624</v>
      </c>
      <c r="F5">
        <v>305</v>
      </c>
      <c r="G5">
        <f>IF(C5=0,0,1000*((2*Delta*Lambda^2*ABS(TAN(D5)-TAN(E5)))/(t*PI()^2*F5*SIN(2*a)))^(1/4))</f>
        <v>8.4517432390678593</v>
      </c>
      <c r="I5">
        <f t="shared" si="2"/>
        <v>3.2786885245901639E-3</v>
      </c>
      <c r="J5">
        <f t="shared" si="3"/>
        <v>-1.4687398542993988</v>
      </c>
    </row>
    <row r="6" spans="1:15" x14ac:dyDescent="0.75">
      <c r="A6">
        <v>5</v>
      </c>
      <c r="B6">
        <v>30</v>
      </c>
      <c r="C6">
        <v>26</v>
      </c>
      <c r="D6">
        <f t="shared" si="0"/>
        <v>0.52359877559829882</v>
      </c>
      <c r="E6">
        <f t="shared" si="1"/>
        <v>0.4537856055185257</v>
      </c>
      <c r="F6">
        <v>305</v>
      </c>
      <c r="G6">
        <f>IF(C6=0,0,1000*((2*Delta*Lambda^2*ABS(TAN(D6)-TAN(E6)))/(t*PI()^2*F6*SIN(2*a)))^(1/4))</f>
        <v>12.615527048472302</v>
      </c>
      <c r="I6">
        <f t="shared" si="2"/>
        <v>1.3114754098360656E-2</v>
      </c>
      <c r="J6">
        <f t="shared" si="3"/>
        <v>4.9196065551044214E-2</v>
      </c>
    </row>
    <row r="7" spans="1:15" x14ac:dyDescent="0.75">
      <c r="B7" t="s">
        <v>40</v>
      </c>
      <c r="C7" t="s">
        <v>41</v>
      </c>
      <c r="F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F452-92C7-4A2E-968B-54D429D130F6}">
  <sheetPr codeName="Sheet2"/>
  <dimension ref="A1:BY26"/>
  <sheetViews>
    <sheetView workbookViewId="0">
      <selection activeCell="B15" sqref="B15"/>
    </sheetView>
  </sheetViews>
  <sheetFormatPr defaultRowHeight="14.75" x14ac:dyDescent="0.75"/>
  <cols>
    <col min="1" max="1" width="6.26953125" bestFit="1" customWidth="1"/>
    <col min="2" max="2" width="20.26953125" bestFit="1" customWidth="1"/>
    <col min="3" max="3" width="20.54296875" bestFit="1" customWidth="1"/>
    <col min="4" max="4" width="10.26953125" bestFit="1" customWidth="1"/>
    <col min="5" max="5" width="10.26953125" customWidth="1"/>
    <col min="6" max="6" width="8" bestFit="1" customWidth="1"/>
    <col min="7" max="7" width="5.54296875" bestFit="1" customWidth="1"/>
    <col min="8" max="9" width="8.40625" bestFit="1" customWidth="1"/>
    <col min="10" max="10" width="20.26953125" bestFit="1" customWidth="1"/>
    <col min="11" max="11" width="18.86328125" bestFit="1" customWidth="1"/>
    <col min="12" max="12" width="18.86328125" customWidth="1"/>
    <col min="13" max="13" width="18.86328125" bestFit="1" customWidth="1"/>
    <col min="14" max="20" width="18.86328125" customWidth="1"/>
    <col min="21" max="21" width="16.86328125" bestFit="1" customWidth="1"/>
    <col min="22" max="24" width="16.86328125" customWidth="1"/>
    <col min="25" max="25" width="18" bestFit="1" customWidth="1"/>
    <col min="26" max="28" width="18" customWidth="1"/>
    <col min="29" max="29" width="18" bestFit="1" customWidth="1"/>
    <col min="30" max="30" width="18" customWidth="1"/>
    <col min="31" max="31" width="18" bestFit="1" customWidth="1"/>
    <col min="32" max="32" width="18" customWidth="1"/>
    <col min="33" max="33" width="18" bestFit="1" customWidth="1"/>
    <col min="34" max="39" width="18" customWidth="1"/>
    <col min="40" max="40" width="14.1328125" bestFit="1" customWidth="1"/>
    <col min="41" max="41" width="15.40625" bestFit="1" customWidth="1"/>
    <col min="42" max="43" width="15.40625" customWidth="1"/>
    <col min="44" max="44" width="14.1328125" bestFit="1" customWidth="1"/>
    <col min="45" max="45" width="15.40625" bestFit="1" customWidth="1"/>
    <col min="46" max="47" width="15.40625" customWidth="1"/>
    <col min="48" max="48" width="14.1328125" bestFit="1" customWidth="1"/>
    <col min="49" max="49" width="15.40625" bestFit="1" customWidth="1"/>
    <col min="50" max="51" width="15.40625" customWidth="1"/>
    <col min="52" max="52" width="14.1328125" customWidth="1"/>
    <col min="53" max="53" width="15.40625" bestFit="1" customWidth="1"/>
    <col min="54" max="55" width="15.40625" customWidth="1"/>
    <col min="56" max="56" width="12.1328125" bestFit="1" customWidth="1"/>
    <col min="57" max="57" width="13.54296875" bestFit="1" customWidth="1"/>
    <col min="58" max="59" width="13.54296875" customWidth="1"/>
    <col min="60" max="60" width="13.26953125" bestFit="1" customWidth="1"/>
    <col min="61" max="61" width="14.54296875" bestFit="1" customWidth="1"/>
    <col min="62" max="63" width="14.54296875" customWidth="1"/>
    <col min="64" max="64" width="13.26953125" bestFit="1" customWidth="1"/>
    <col min="65" max="65" width="14.54296875" bestFit="1" customWidth="1"/>
    <col min="66" max="67" width="14.54296875" customWidth="1"/>
    <col min="68" max="68" width="13.26953125" bestFit="1" customWidth="1"/>
    <col min="69" max="69" width="14.54296875" bestFit="1" customWidth="1"/>
    <col min="70" max="71" width="14.54296875" customWidth="1"/>
    <col min="72" max="72" width="13.26953125" bestFit="1" customWidth="1"/>
    <col min="73" max="73" width="14.54296875" bestFit="1" customWidth="1"/>
    <col min="74" max="74" width="13.26953125" bestFit="1" customWidth="1"/>
    <col min="75" max="75" width="14.54296875" bestFit="1" customWidth="1"/>
    <col min="76" max="76" width="13.26953125" bestFit="1" customWidth="1"/>
    <col min="77" max="77" width="14.54296875" bestFit="1" customWidth="1"/>
  </cols>
  <sheetData>
    <row r="1" spans="1:77" x14ac:dyDescent="0.75">
      <c r="A1" t="s">
        <v>0</v>
      </c>
      <c r="B1" t="s">
        <v>35</v>
      </c>
      <c r="C1" t="s">
        <v>22</v>
      </c>
      <c r="D1" t="s">
        <v>33</v>
      </c>
      <c r="E1" t="s">
        <v>64</v>
      </c>
      <c r="F1" t="s">
        <v>15</v>
      </c>
      <c r="G1" t="s">
        <v>49</v>
      </c>
      <c r="H1" t="s">
        <v>34</v>
      </c>
      <c r="I1" t="s">
        <v>37</v>
      </c>
      <c r="J1" t="s">
        <v>28</v>
      </c>
      <c r="K1" t="s">
        <v>4</v>
      </c>
      <c r="L1" t="s">
        <v>9</v>
      </c>
      <c r="M1" t="s">
        <v>16</v>
      </c>
      <c r="N1" t="s">
        <v>56</v>
      </c>
      <c r="O1" t="s">
        <v>57</v>
      </c>
      <c r="P1" t="s">
        <v>10</v>
      </c>
      <c r="Q1" t="s">
        <v>17</v>
      </c>
      <c r="R1" t="s">
        <v>58</v>
      </c>
      <c r="S1" t="s">
        <v>59</v>
      </c>
      <c r="T1" t="s">
        <v>11</v>
      </c>
      <c r="U1" t="s">
        <v>18</v>
      </c>
      <c r="V1" t="s">
        <v>60</v>
      </c>
      <c r="W1" t="s">
        <v>61</v>
      </c>
      <c r="X1" t="s">
        <v>12</v>
      </c>
      <c r="Y1" t="s">
        <v>19</v>
      </c>
      <c r="Z1" t="s">
        <v>62</v>
      </c>
      <c r="AA1" t="s">
        <v>63</v>
      </c>
      <c r="AB1" t="s">
        <v>13</v>
      </c>
      <c r="AC1" t="s">
        <v>20</v>
      </c>
    </row>
    <row r="2" spans="1:77" x14ac:dyDescent="0.75">
      <c r="A2" s="7">
        <v>-40</v>
      </c>
      <c r="B2" s="2">
        <f>Method1!$T$2</f>
        <v>-2.4976150487256796</v>
      </c>
      <c r="C2" s="2">
        <f>Method1!$U$2</f>
        <v>1.0312589511431278E-15</v>
      </c>
      <c r="D2" s="2">
        <f>Method1!$P$2</f>
        <v>-2.4976202421802419E-3</v>
      </c>
      <c r="E2" s="2">
        <f>Method1!$Q$2</f>
        <v>1.0312589511431278E-18</v>
      </c>
      <c r="F2" s="2">
        <f>Method1!$R$2</f>
        <v>2.6758889386740954</v>
      </c>
      <c r="G2" s="2">
        <f>Method1!$S$2</f>
        <v>5.660293455477059E-16</v>
      </c>
      <c r="H2" s="2">
        <f>Method2!$J$2</f>
        <v>-5.6084882903986806</v>
      </c>
      <c r="I2" s="2">
        <f>Method2!$I$2</f>
        <v>7.5409836065573776E-2</v>
      </c>
      <c r="J2" s="2">
        <f>Method2!$G$2</f>
        <v>23.738391834636623</v>
      </c>
      <c r="K2" s="7">
        <f>Method1!$J$2</f>
        <v>185</v>
      </c>
      <c r="L2" s="2">
        <f>Method1!$G$2</f>
        <v>2.2108804787549148</v>
      </c>
      <c r="M2" s="10">
        <f>Method1!$H$2</f>
        <v>0.31729471585399477</v>
      </c>
      <c r="N2" s="2">
        <f>Method1!$G$5</f>
        <v>2.4011241741127045</v>
      </c>
      <c r="O2" s="10">
        <f>Method1!$H$5</f>
        <v>0.33830685442964153</v>
      </c>
      <c r="P2" s="2">
        <f>Method1!$G$8</f>
        <v>2.4934993395621925</v>
      </c>
      <c r="Q2" s="10">
        <f>Method1!$H$8</f>
        <v>0.36813329963624175</v>
      </c>
      <c r="R2" s="2">
        <f>Method1!$G$11</f>
        <v>2.540125471440307</v>
      </c>
      <c r="S2" s="10">
        <f>Method1!$H$11</f>
        <v>0.36106096596422255</v>
      </c>
      <c r="T2" s="2">
        <f>Method1!$G$14</f>
        <v>2.6626732242115958</v>
      </c>
      <c r="U2" s="10">
        <f>Method1!$H$14</f>
        <v>0.38243687610587823</v>
      </c>
      <c r="V2" s="2">
        <f>Method1!$G$17</f>
        <v>2.8509110294682092</v>
      </c>
      <c r="W2" s="10">
        <f>Method1!$H$17</f>
        <v>0.40890126599200266</v>
      </c>
      <c r="X2" s="2">
        <f>Method1!$G$20</f>
        <v>3.2444568642671658</v>
      </c>
      <c r="Y2" s="10">
        <f>Method1!$H$20</f>
        <v>0.47701946116904886</v>
      </c>
      <c r="Z2" s="2">
        <f>Method1!$G$23</f>
        <v>3.3804487260928013</v>
      </c>
      <c r="AA2" s="10">
        <f>Method1!$H$23</f>
        <v>0.48986513508663987</v>
      </c>
      <c r="AB2" s="3">
        <f>Method1!$G$26</f>
        <v>4.145162008313509</v>
      </c>
      <c r="AC2" s="2">
        <f>Method1!$H$26</f>
        <v>0.5954378834269356</v>
      </c>
      <c r="AE2" s="7"/>
      <c r="AF2" s="7"/>
      <c r="AH2" s="7"/>
      <c r="AI2" s="7"/>
      <c r="AJ2" s="2"/>
      <c r="AK2" s="10"/>
      <c r="AL2" s="2"/>
      <c r="AM2" s="10"/>
      <c r="AX2" s="2"/>
      <c r="AY2" s="10"/>
      <c r="AZ2" s="10"/>
      <c r="BA2" s="10"/>
      <c r="BB2" s="10"/>
      <c r="BC2" s="10"/>
      <c r="BJ2" s="2"/>
      <c r="BK2" s="10"/>
      <c r="BP2" s="3"/>
      <c r="BQ2" s="2"/>
      <c r="BR2" s="3"/>
      <c r="BS2" s="2"/>
      <c r="BV2" s="3"/>
      <c r="BW2" s="2"/>
      <c r="BX2" s="3"/>
      <c r="BY2" s="2"/>
    </row>
    <row r="3" spans="1:77" x14ac:dyDescent="0.75">
      <c r="A3" s="7">
        <v>-30</v>
      </c>
      <c r="B3" s="2">
        <f>Method1!$T$5</f>
        <v>-2.0344088616879912</v>
      </c>
      <c r="C3" s="2">
        <f>Method1!$U$5</f>
        <v>-1.0312589511431278E-15</v>
      </c>
      <c r="D3" s="2">
        <f>Method1!$P$5</f>
        <v>-2.0344116683762704E-3</v>
      </c>
      <c r="E3" s="2">
        <f>Method1!$Q$5</f>
        <v>-1.0312589511431278E-18</v>
      </c>
      <c r="F3" s="2">
        <f>Method1!$R$5</f>
        <v>2.7674831844083876</v>
      </c>
      <c r="G3" s="2">
        <f>Method1!$S$5</f>
        <v>-5.660293455477059E-16</v>
      </c>
      <c r="H3" s="2">
        <f>Method2!$J$3</f>
        <v>2.9162072670076076</v>
      </c>
      <c r="I3" s="2">
        <f>Method2!$I$3</f>
        <v>3.6065573770491806E-2</v>
      </c>
      <c r="J3" s="2">
        <f>Method2!$G$3</f>
        <v>16.948413910567716</v>
      </c>
      <c r="K3" s="7">
        <f>Method1!$J$3</f>
        <v>489</v>
      </c>
      <c r="L3" s="2">
        <f>Method1!$G$3</f>
        <v>1.4604404025612159</v>
      </c>
      <c r="M3" s="10">
        <f>Method1!$H$3</f>
        <v>0.213866839597456</v>
      </c>
      <c r="N3" s="2">
        <f>Method1!$G$6</f>
        <v>1.752674392187008</v>
      </c>
      <c r="O3" s="10">
        <f>Method1!$H$6</f>
        <v>0.25149922060663732</v>
      </c>
      <c r="P3" s="2">
        <f>Method1!$G$9</f>
        <v>2.1040524291329583</v>
      </c>
      <c r="Q3" s="10">
        <f>Method1!$H$9</f>
        <v>0.30084703159382303</v>
      </c>
      <c r="R3" s="2">
        <f>Method1!$G$12</f>
        <v>2.3597178337760574</v>
      </c>
      <c r="S3" s="10">
        <f>Method1!$H$12</f>
        <v>0.33797004217821258</v>
      </c>
      <c r="T3" s="2">
        <f>Method1!$G$15</f>
        <v>2.7090362692892573</v>
      </c>
      <c r="U3" s="10">
        <f>Method1!$H$15</f>
        <v>0.38895201908358024</v>
      </c>
      <c r="V3" s="2">
        <f>Method1!$G$18</f>
        <v>3.2903993973798054</v>
      </c>
      <c r="W3" s="10">
        <f>Method1!$H$18</f>
        <v>0.47080440019717773</v>
      </c>
      <c r="X3" s="2">
        <f>Method1!$G$21</f>
        <v>3.8221570556471587</v>
      </c>
      <c r="Y3" s="10">
        <f>Method1!$H$21</f>
        <v>0.53943342272636285</v>
      </c>
      <c r="Z3" s="2">
        <f>Method1!$G$24</f>
        <v>4.7242941016353122</v>
      </c>
      <c r="AA3" s="10">
        <f>Method1!$H$24</f>
        <v>0.66940645361613926</v>
      </c>
      <c r="AB3" s="3">
        <f>Method1!$G$27</f>
        <v>7.0694166214883118</v>
      </c>
      <c r="AC3" s="2">
        <f>Method1!$H$27</f>
        <v>0.98217097711137047</v>
      </c>
      <c r="AE3" s="7"/>
      <c r="AF3" s="7"/>
      <c r="AH3" s="7"/>
      <c r="AI3" s="7"/>
      <c r="AJ3" s="2"/>
      <c r="AK3" s="10"/>
      <c r="AL3" s="2"/>
      <c r="AM3" s="10"/>
      <c r="AX3" s="2"/>
      <c r="AY3" s="10"/>
      <c r="AZ3" s="10"/>
      <c r="BA3" s="10"/>
      <c r="BB3" s="10"/>
      <c r="BC3" s="10"/>
      <c r="BJ3" s="2"/>
      <c r="BK3" s="10"/>
      <c r="BP3" s="3"/>
      <c r="BQ3" s="2"/>
      <c r="BR3" s="3"/>
      <c r="BS3" s="2"/>
      <c r="BV3" s="3"/>
      <c r="BW3" s="2"/>
      <c r="BX3" s="3"/>
      <c r="BY3" s="2"/>
    </row>
    <row r="4" spans="1:77" x14ac:dyDescent="0.75">
      <c r="A4">
        <v>-20</v>
      </c>
      <c r="B4" s="2">
        <f>Method1!$T$8</f>
        <v>-1.2696009129870278</v>
      </c>
      <c r="C4" s="2">
        <f>Method1!$U$8</f>
        <v>4.1250358045725112E-15</v>
      </c>
      <c r="D4" s="2">
        <f>Method1!$P$8</f>
        <v>-1.2696015951383158E-3</v>
      </c>
      <c r="E4" s="2">
        <f>Method1!$Q$8</f>
        <v>4.1250358045725114E-18</v>
      </c>
      <c r="F4" s="2">
        <f>Method1!$R$8</f>
        <v>2.7272116874202292</v>
      </c>
      <c r="G4" s="2">
        <f>Method1!$S$8</f>
        <v>2.2641173821908236E-15</v>
      </c>
      <c r="H4" s="2">
        <f>Method2!$J$4</f>
        <v>-0.26165271428726466</v>
      </c>
      <c r="I4" s="2">
        <f>Method2!$I$4</f>
        <v>1.3114754098360656E-2</v>
      </c>
      <c r="J4" s="2">
        <f>Method2!$G$4</f>
        <v>12.310455114794445</v>
      </c>
      <c r="K4" s="7">
        <f>Method1!$J$4</f>
        <v>794</v>
      </c>
      <c r="L4" s="2">
        <f>Method1!$G$4</f>
        <v>0.6898394191855608</v>
      </c>
      <c r="M4" s="10">
        <f>Method1!$H$4</f>
        <v>0.1129374383949471</v>
      </c>
      <c r="N4" s="2">
        <f>Method1!$G$7</f>
        <v>1.1621346577490845</v>
      </c>
      <c r="O4" s="10">
        <f>Method1!$H$7</f>
        <v>0.17310001227501071</v>
      </c>
      <c r="P4" s="2">
        <f>Method1!$G$10</f>
        <v>1.7203081519024914</v>
      </c>
      <c r="Q4" s="10">
        <f>Method1!$H$10</f>
        <v>0.24824772826932334</v>
      </c>
      <c r="R4" s="2">
        <f>Method1!$G$13</f>
        <v>2.2250883666797416</v>
      </c>
      <c r="S4" s="10">
        <f>Method1!$H$13</f>
        <v>0.32713932304704707</v>
      </c>
      <c r="T4" s="2">
        <f>Method1!$G$16</f>
        <v>2.7922677542647736</v>
      </c>
      <c r="U4" s="10">
        <f>Method1!$H$16</f>
        <v>0.39178404664056404</v>
      </c>
      <c r="V4" s="2">
        <f>Method1!$G$19</f>
        <v>3.7393263377855162</v>
      </c>
      <c r="W4" s="10">
        <f>Method1!$H$19</f>
        <v>0.52779000930325959</v>
      </c>
      <c r="X4" s="2">
        <f>Method1!$G$22</f>
        <v>4.573519883445325</v>
      </c>
      <c r="Y4" s="10">
        <f>Method1!$H$22</f>
        <v>0.64816906389130335</v>
      </c>
      <c r="Z4" s="2">
        <f>Method1!$G$25</f>
        <v>6.0541785333035234</v>
      </c>
      <c r="AA4" s="10">
        <f>Method1!$H$25</f>
        <v>0.85666268909736687</v>
      </c>
      <c r="AB4" s="3">
        <f>Method1!$G$28</f>
        <v>10.045360586749526</v>
      </c>
      <c r="AC4" s="2">
        <f>Method1!$H$28</f>
        <v>1.3941452778485359</v>
      </c>
      <c r="AE4" s="7"/>
      <c r="AF4" s="7"/>
      <c r="AH4" s="7"/>
      <c r="AI4" s="7"/>
      <c r="AJ4" s="2"/>
      <c r="AK4" s="10"/>
      <c r="AL4" s="2"/>
      <c r="AM4" s="10"/>
      <c r="AX4" s="2"/>
      <c r="AY4" s="10"/>
      <c r="AZ4" s="10"/>
      <c r="BA4" s="10"/>
      <c r="BB4" s="10"/>
      <c r="BC4" s="10"/>
      <c r="BJ4" s="2"/>
      <c r="BK4" s="10"/>
      <c r="BP4" s="3"/>
      <c r="BQ4" s="2"/>
      <c r="BR4" s="3"/>
      <c r="BS4" s="2"/>
      <c r="BV4" s="3"/>
      <c r="BW4" s="2"/>
      <c r="BX4" s="3"/>
      <c r="BY4" s="2"/>
    </row>
    <row r="5" spans="1:77" x14ac:dyDescent="0.75">
      <c r="A5">
        <v>-10</v>
      </c>
      <c r="B5" s="2">
        <f>Method1!$T$11</f>
        <v>-0.51726065201261651</v>
      </c>
      <c r="C5" s="2">
        <f>Method1!$U$11</f>
        <v>9.28133056028815E-15</v>
      </c>
      <c r="D5" s="2">
        <f>Method1!$P$11</f>
        <v>-5.1726069814513032E-4</v>
      </c>
      <c r="E5" s="2">
        <f>Method1!$Q$11</f>
        <v>9.2813305602881506E-18</v>
      </c>
      <c r="F5" s="2">
        <f>Method1!$R$11</f>
        <v>2.6280901255910512</v>
      </c>
      <c r="G5" s="2">
        <f>Method1!$S$11</f>
        <v>5.0942641099293529E-15</v>
      </c>
      <c r="H5" s="2">
        <f>Method2!$J$5</f>
        <v>-1.4687398542993988</v>
      </c>
      <c r="I5" s="2">
        <f>Method2!$I$5</f>
        <v>3.2786885245901639E-3</v>
      </c>
      <c r="J5" s="2">
        <f>Method2!$G$5</f>
        <v>8.4517432390678593</v>
      </c>
      <c r="AE5" s="7"/>
      <c r="AF5" s="7"/>
      <c r="AH5" s="7"/>
      <c r="AI5" s="7"/>
      <c r="AJ5" s="2"/>
      <c r="AK5" s="10"/>
      <c r="AL5" s="2"/>
      <c r="AM5" s="10"/>
      <c r="AX5" s="2"/>
      <c r="AY5" s="10"/>
      <c r="AZ5" s="10"/>
      <c r="BA5" s="10"/>
      <c r="BB5" s="10"/>
      <c r="BC5" s="10"/>
      <c r="BJ5" s="2"/>
      <c r="BK5" s="10"/>
      <c r="BP5" s="3"/>
      <c r="BQ5" s="2"/>
      <c r="BR5" s="3"/>
      <c r="BS5" s="2"/>
      <c r="BV5" s="3"/>
      <c r="BW5" s="2"/>
      <c r="BX5" s="3"/>
      <c r="BY5" s="2"/>
    </row>
    <row r="6" spans="1:77" x14ac:dyDescent="0.75">
      <c r="A6">
        <v>0</v>
      </c>
      <c r="B6" s="2">
        <f>Method1!$T$14</f>
        <v>0.21283184133602745</v>
      </c>
      <c r="C6" s="2">
        <f>Method1!$U$14</f>
        <v>-6.1875537068587672E-15</v>
      </c>
      <c r="D6" s="2">
        <f>Method1!$P$14</f>
        <v>2.1283184454960334E-4</v>
      </c>
      <c r="E6" s="2">
        <f>Method1!$Q$14</f>
        <v>-6.1875537068587671E-18</v>
      </c>
      <c r="F6" s="2">
        <f>Method1!$R$14</f>
        <v>2.6171800333222706</v>
      </c>
      <c r="G6" s="2">
        <f>Method1!$S$14</f>
        <v>-3.3961760732862354E-15</v>
      </c>
      <c r="H6" s="2">
        <f>Method2!$J$6</f>
        <v>4.9196065551044214E-2</v>
      </c>
      <c r="I6" s="2">
        <f>Method2!$I$6</f>
        <v>1.3114754098360656E-2</v>
      </c>
      <c r="J6" s="2">
        <f>Method2!$G$6</f>
        <v>12.615527048472302</v>
      </c>
      <c r="AE6" s="7"/>
      <c r="AF6" s="7"/>
      <c r="AH6" s="7"/>
      <c r="AI6" s="7"/>
      <c r="AJ6" s="2"/>
      <c r="AK6" s="10"/>
      <c r="AL6" s="2"/>
      <c r="AM6" s="10"/>
      <c r="AX6" s="2"/>
      <c r="AY6" s="10"/>
      <c r="AZ6" s="10"/>
      <c r="BA6" s="10"/>
      <c r="BB6" s="10"/>
      <c r="BC6" s="10"/>
      <c r="BJ6" s="2"/>
      <c r="BK6" s="10"/>
      <c r="BP6" s="3"/>
      <c r="BQ6" s="10"/>
      <c r="BR6" s="3"/>
      <c r="BS6" s="10"/>
      <c r="BV6" s="3"/>
      <c r="BW6" s="2"/>
      <c r="BX6" s="3"/>
      <c r="BY6" s="2"/>
    </row>
    <row r="7" spans="1:77" x14ac:dyDescent="0.75">
      <c r="A7">
        <v>10</v>
      </c>
      <c r="B7" s="2">
        <f>Method1!$T$17</f>
        <v>1.4588161671114184</v>
      </c>
      <c r="C7" s="2">
        <f>Method1!$U$17</f>
        <v>1.5468884267146917E-14</v>
      </c>
      <c r="D7" s="2">
        <f>Method1!$P$17</f>
        <v>1.4588172019695533E-3</v>
      </c>
      <c r="E7" s="2">
        <f>Method1!$Q$17</f>
        <v>1.5468884267146918E-17</v>
      </c>
      <c r="F7" s="2">
        <f>Method1!$R$17</f>
        <v>2.5796977040474065</v>
      </c>
      <c r="G7" s="2">
        <f>Method1!$S$17</f>
        <v>8.4904401832155879E-15</v>
      </c>
      <c r="K7" s="7"/>
      <c r="L7" s="2"/>
      <c r="M7" s="10"/>
      <c r="N7" s="10"/>
      <c r="O7" s="10"/>
      <c r="P7" s="2"/>
      <c r="Q7" s="10"/>
      <c r="R7" s="10"/>
      <c r="S7" s="10"/>
      <c r="T7" s="2"/>
      <c r="U7" s="10"/>
      <c r="V7" s="10"/>
      <c r="W7" s="10"/>
      <c r="X7" s="2"/>
      <c r="Y7" s="10"/>
      <c r="Z7" s="10"/>
      <c r="AA7" s="10"/>
      <c r="AB7" s="3"/>
      <c r="AC7" s="2"/>
      <c r="AE7" s="7"/>
      <c r="AF7" s="7"/>
      <c r="AH7" s="7"/>
      <c r="AI7" s="7"/>
      <c r="AJ7" s="2"/>
      <c r="AK7" s="10"/>
      <c r="AL7" s="2"/>
      <c r="AM7" s="10"/>
      <c r="AX7" s="2"/>
      <c r="AY7" s="10"/>
      <c r="AZ7" s="10"/>
      <c r="BA7" s="10"/>
      <c r="BB7" s="10"/>
      <c r="BC7" s="10"/>
      <c r="BJ7" s="2"/>
      <c r="BK7" s="10"/>
      <c r="BP7" s="3"/>
      <c r="BQ7" s="10"/>
      <c r="BR7" s="3"/>
      <c r="BS7" s="10"/>
      <c r="BV7" s="3"/>
      <c r="BW7" s="2"/>
      <c r="BX7" s="3"/>
      <c r="BY7" s="2"/>
    </row>
    <row r="8" spans="1:77" x14ac:dyDescent="0.75">
      <c r="A8">
        <v>20</v>
      </c>
      <c r="B8" s="2">
        <f>Method1!$T$20</f>
        <v>2.1825201438282655</v>
      </c>
      <c r="C8" s="2">
        <f>Method1!$U$20</f>
        <v>2.1656437974005686E-14</v>
      </c>
      <c r="D8" s="2">
        <f>Method1!$P$20</f>
        <v>2.1825236092361173E-3</v>
      </c>
      <c r="E8" s="2">
        <f>Method1!$Q$20</f>
        <v>2.1656437974005685E-17</v>
      </c>
      <c r="F8" s="2">
        <f>Method1!$R$20</f>
        <v>2.8120630483336733</v>
      </c>
      <c r="G8" s="2">
        <f>Method1!$S$20</f>
        <v>1.1886616256501824E-14</v>
      </c>
      <c r="K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2"/>
      <c r="AK8" s="10"/>
      <c r="AL8" s="2"/>
      <c r="AM8" s="10"/>
      <c r="AN8" s="2"/>
      <c r="AO8" s="10"/>
      <c r="AP8" s="2"/>
      <c r="AQ8" s="10"/>
      <c r="AR8" s="2"/>
      <c r="AS8" s="10"/>
      <c r="AT8" s="2"/>
      <c r="AU8" s="10"/>
      <c r="AV8" s="2"/>
      <c r="AW8" s="10"/>
      <c r="AX8" s="2"/>
      <c r="AY8" s="10"/>
      <c r="AZ8" s="10"/>
      <c r="BA8" s="10"/>
      <c r="BB8" s="10"/>
      <c r="BC8" s="10"/>
      <c r="BD8" s="2"/>
      <c r="BE8" s="10"/>
      <c r="BF8" s="2"/>
      <c r="BG8" s="10"/>
      <c r="BH8" s="2"/>
      <c r="BI8" s="10"/>
      <c r="BJ8" s="2"/>
      <c r="BK8" s="10"/>
      <c r="BL8" s="2"/>
      <c r="BM8" s="10"/>
      <c r="BN8" s="2"/>
      <c r="BO8" s="10"/>
      <c r="BP8" s="3"/>
      <c r="BQ8" s="10"/>
      <c r="BR8" s="3"/>
      <c r="BS8" s="10"/>
      <c r="BT8" s="3"/>
      <c r="BU8" s="10"/>
      <c r="BV8" s="3"/>
      <c r="BW8" s="10"/>
      <c r="BX8" s="3"/>
      <c r="BY8" s="10"/>
    </row>
    <row r="9" spans="1:77" x14ac:dyDescent="0.75">
      <c r="A9">
        <v>30</v>
      </c>
      <c r="B9" s="2">
        <f>Method1!$T$23</f>
        <v>4.3903162301418224</v>
      </c>
      <c r="C9" s="2">
        <f>Method1!$U$23</f>
        <v>5.1562947557156396E-15</v>
      </c>
      <c r="D9" s="2">
        <f>Method1!$P$23</f>
        <v>4.3903444379604943E-3</v>
      </c>
      <c r="E9" s="2">
        <f>Method1!$Q$23</f>
        <v>5.1562947557156392E-18</v>
      </c>
      <c r="F9" s="2">
        <f>Method1!$R$23</f>
        <v>2.5712985753685431</v>
      </c>
      <c r="G9" s="2">
        <f>Method1!$S$23</f>
        <v>2.8301467277385293E-15</v>
      </c>
      <c r="K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2"/>
      <c r="AK9" s="10"/>
      <c r="AL9" s="2"/>
      <c r="AM9" s="10"/>
      <c r="AN9" s="2"/>
      <c r="AO9" s="10"/>
      <c r="AP9" s="2"/>
      <c r="AQ9" s="10"/>
      <c r="AR9" s="2"/>
      <c r="AS9" s="10"/>
      <c r="AT9" s="2"/>
      <c r="AU9" s="10"/>
      <c r="AV9" s="2"/>
      <c r="AW9" s="10"/>
      <c r="AX9" s="2"/>
      <c r="AY9" s="10"/>
      <c r="AZ9" s="10"/>
      <c r="BA9" s="10"/>
      <c r="BB9" s="10"/>
      <c r="BC9" s="10"/>
      <c r="BD9" s="2"/>
      <c r="BE9" s="10"/>
      <c r="BF9" s="2"/>
      <c r="BG9" s="10"/>
      <c r="BH9" s="2"/>
      <c r="BI9" s="10"/>
      <c r="BJ9" s="2"/>
      <c r="BK9" s="10"/>
      <c r="BL9" s="2"/>
      <c r="BM9" s="10"/>
      <c r="BN9" s="2"/>
      <c r="BO9" s="10"/>
      <c r="BP9" s="3"/>
      <c r="BQ9" s="10"/>
      <c r="BR9" s="3"/>
      <c r="BS9" s="10"/>
      <c r="BT9" s="3"/>
      <c r="BU9" s="10"/>
      <c r="BV9" s="3"/>
      <c r="BW9" s="10"/>
      <c r="BX9" s="3"/>
      <c r="BY9" s="10"/>
    </row>
    <row r="10" spans="1:77" x14ac:dyDescent="0.75">
      <c r="A10" s="7">
        <v>40</v>
      </c>
      <c r="B10" s="2">
        <f>Method1!$T$26</f>
        <v>9.6880738431275049</v>
      </c>
      <c r="C10" s="2">
        <f>Method1!$U$26</f>
        <v>1.6500143218290045E-14</v>
      </c>
      <c r="D10" s="2">
        <f>Method1!$P$26</f>
        <v>9.6883769580878402E-3</v>
      </c>
      <c r="E10" s="2">
        <f>Method1!$Q$26</f>
        <v>1.6500143218290046E-17</v>
      </c>
      <c r="F10" s="2">
        <f>Method1!$R$26</f>
        <v>2.34580061402613</v>
      </c>
      <c r="G10" s="2">
        <f>Method1!$S$26</f>
        <v>9.0564695287632944E-15</v>
      </c>
      <c r="K10" s="2"/>
      <c r="AR10" s="2"/>
    </row>
    <row r="11" spans="1:77" x14ac:dyDescent="0.75">
      <c r="K11" s="2"/>
    </row>
    <row r="12" spans="1:77" x14ac:dyDescent="0.75">
      <c r="K12" s="2"/>
    </row>
    <row r="13" spans="1:77" x14ac:dyDescent="0.75">
      <c r="K13" s="2"/>
    </row>
    <row r="14" spans="1:77" x14ac:dyDescent="0.75">
      <c r="K14" s="2"/>
    </row>
    <row r="15" spans="1:77" x14ac:dyDescent="0.75">
      <c r="K15" s="2"/>
    </row>
    <row r="16" spans="1:77" x14ac:dyDescent="0.75">
      <c r="K16" s="2"/>
    </row>
    <row r="17" spans="1:11" x14ac:dyDescent="0.75">
      <c r="K17" s="2"/>
    </row>
    <row r="18" spans="1:11" x14ac:dyDescent="0.75">
      <c r="K18" s="2"/>
    </row>
    <row r="19" spans="1:11" x14ac:dyDescent="0.75">
      <c r="B19" s="2"/>
      <c r="C19" s="5"/>
      <c r="D19" s="1"/>
      <c r="E19" s="1"/>
      <c r="F19" s="2"/>
      <c r="G19" s="2"/>
      <c r="H19" s="2"/>
      <c r="I19" s="2"/>
      <c r="J19" s="2" t="s">
        <v>38</v>
      </c>
      <c r="K19" s="2"/>
    </row>
    <row r="20" spans="1:11" x14ac:dyDescent="0.75">
      <c r="K20" s="2"/>
    </row>
    <row r="21" spans="1:11" x14ac:dyDescent="0.75">
      <c r="K21" s="2"/>
    </row>
    <row r="22" spans="1:11" x14ac:dyDescent="0.75">
      <c r="A22" s="7"/>
      <c r="B22" s="3"/>
      <c r="C22" s="6"/>
      <c r="D22" s="6"/>
      <c r="E22" s="6"/>
      <c r="F22" s="2"/>
      <c r="G22" s="2"/>
      <c r="H22" s="2"/>
      <c r="I22" s="2"/>
      <c r="J22" s="2"/>
      <c r="K22" s="2"/>
    </row>
    <row r="23" spans="1:11" x14ac:dyDescent="0.75">
      <c r="A23" s="7"/>
      <c r="B23" s="3"/>
      <c r="C23" s="6"/>
      <c r="D23" s="6"/>
      <c r="E23" s="6"/>
      <c r="F23" s="2"/>
      <c r="G23" s="2"/>
      <c r="H23" s="2"/>
      <c r="I23" s="2"/>
      <c r="J23" s="2"/>
      <c r="K23" s="2"/>
    </row>
    <row r="24" spans="1:11" x14ac:dyDescent="0.75">
      <c r="K24" s="2"/>
    </row>
    <row r="25" spans="1:11" x14ac:dyDescent="0.75">
      <c r="K25" s="2"/>
    </row>
    <row r="26" spans="1:11" x14ac:dyDescent="0.75">
      <c r="K26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Method1</vt:lpstr>
      <vt:lpstr>Method2</vt:lpstr>
      <vt:lpstr>Data4</vt:lpstr>
      <vt:lpstr>a</vt:lpstr>
      <vt:lpstr>Delta</vt:lpstr>
      <vt:lpstr>Lambda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S.</dc:creator>
  <cp:lastModifiedBy>Aidan S.</cp:lastModifiedBy>
  <dcterms:created xsi:type="dcterms:W3CDTF">2025-02-28T01:22:48Z</dcterms:created>
  <dcterms:modified xsi:type="dcterms:W3CDTF">2025-11-06T18:59:52Z</dcterms:modified>
</cp:coreProperties>
</file>