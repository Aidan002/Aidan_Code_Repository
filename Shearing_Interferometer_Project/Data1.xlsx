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H:\Shearing Interferometer Project\Original Setup\"/>
    </mc:Choice>
  </mc:AlternateContent>
  <xr:revisionPtr revIDLastSave="0" documentId="13_ncr:1_{838C9479-95AD-4B72-AAC8-5C52495BC797}" xr6:coauthVersionLast="47" xr6:coauthVersionMax="47" xr10:uidLastSave="{00000000-0000-0000-0000-000000000000}"/>
  <bookViews>
    <workbookView xWindow="-120" yWindow="-120" windowWidth="38640" windowHeight="16440" xr2:uid="{4B4234B7-F5C0-4300-8429-8E85664CE7AC}"/>
  </bookViews>
  <sheets>
    <sheet name="Dataset1" sheetId="1" r:id="rId1"/>
    <sheet name="Data1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" i="1" l="1"/>
  <c r="C4" i="1"/>
  <c r="C5" i="1"/>
  <c r="C6" i="1"/>
  <c r="C7" i="1"/>
  <c r="C8" i="1"/>
  <c r="C9" i="1"/>
  <c r="C10" i="1"/>
  <c r="C11" i="1"/>
  <c r="C12" i="1"/>
  <c r="H12" i="1" s="1"/>
  <c r="M12" i="1" s="1"/>
  <c r="C13" i="1"/>
  <c r="H13" i="1" s="1"/>
  <c r="M13" i="1" s="1"/>
  <c r="C14" i="1"/>
  <c r="C15" i="1"/>
  <c r="C16" i="1"/>
  <c r="C17" i="1"/>
  <c r="C18" i="1"/>
  <c r="C19" i="1"/>
  <c r="C20" i="1"/>
  <c r="C21" i="1"/>
  <c r="C22" i="1"/>
  <c r="H22" i="1" s="1"/>
  <c r="M22" i="1" s="1"/>
  <c r="C23" i="1"/>
  <c r="C24" i="1"/>
  <c r="H24" i="1" s="1"/>
  <c r="M24" i="1" s="1"/>
  <c r="C25" i="1"/>
  <c r="H25" i="1" s="1"/>
  <c r="M25" i="1" s="1"/>
  <c r="C26" i="1"/>
  <c r="C27" i="1"/>
  <c r="C28" i="1"/>
  <c r="C29" i="1"/>
  <c r="C30" i="1"/>
  <c r="C31" i="1"/>
  <c r="C32" i="1"/>
  <c r="C33" i="1"/>
  <c r="C34" i="1"/>
  <c r="H34" i="1" s="1"/>
  <c r="M34" i="1" s="1"/>
  <c r="C35" i="1"/>
  <c r="C36" i="1"/>
  <c r="H36" i="1" s="1"/>
  <c r="M36" i="1" s="1"/>
  <c r="C37" i="1"/>
  <c r="H10" i="1"/>
  <c r="M10" i="1" s="1"/>
  <c r="C2" i="1"/>
  <c r="H2" i="1" s="1"/>
  <c r="M2" i="1" s="1"/>
  <c r="A10" i="2"/>
  <c r="A9" i="2"/>
  <c r="A8" i="2"/>
  <c r="A7" i="2"/>
  <c r="A6" i="2"/>
  <c r="A5" i="2"/>
  <c r="A4" i="2"/>
  <c r="A3" i="2"/>
  <c r="A2" i="2"/>
  <c r="K3" i="1"/>
  <c r="L3" i="1" s="1"/>
  <c r="K4" i="1"/>
  <c r="L4" i="1" s="1"/>
  <c r="K5" i="1"/>
  <c r="L5" i="1" s="1"/>
  <c r="K6" i="1"/>
  <c r="L6" i="1" s="1"/>
  <c r="K7" i="1"/>
  <c r="L7" i="1" s="1"/>
  <c r="K8" i="1"/>
  <c r="L8" i="1" s="1"/>
  <c r="K9" i="1"/>
  <c r="L9" i="1" s="1"/>
  <c r="K10" i="1"/>
  <c r="L10" i="1" s="1"/>
  <c r="K11" i="1"/>
  <c r="L11" i="1" s="1"/>
  <c r="K12" i="1"/>
  <c r="L12" i="1" s="1"/>
  <c r="K13" i="1"/>
  <c r="L13" i="1" s="1"/>
  <c r="K14" i="1"/>
  <c r="L14" i="1" s="1"/>
  <c r="K15" i="1"/>
  <c r="L15" i="1" s="1"/>
  <c r="K16" i="1"/>
  <c r="L16" i="1" s="1"/>
  <c r="K17" i="1"/>
  <c r="L17" i="1" s="1"/>
  <c r="K18" i="1"/>
  <c r="L18" i="1" s="1"/>
  <c r="K19" i="1"/>
  <c r="L19" i="1" s="1"/>
  <c r="K20" i="1"/>
  <c r="L20" i="1" s="1"/>
  <c r="K21" i="1"/>
  <c r="L21" i="1" s="1"/>
  <c r="K22" i="1"/>
  <c r="L22" i="1" s="1"/>
  <c r="K23" i="1"/>
  <c r="L23" i="1" s="1"/>
  <c r="K24" i="1"/>
  <c r="L24" i="1" s="1"/>
  <c r="K25" i="1"/>
  <c r="L25" i="1" s="1"/>
  <c r="K26" i="1"/>
  <c r="L26" i="1" s="1"/>
  <c r="K27" i="1"/>
  <c r="L27" i="1" s="1"/>
  <c r="K28" i="1"/>
  <c r="L28" i="1" s="1"/>
  <c r="K29" i="1"/>
  <c r="L29" i="1" s="1"/>
  <c r="K30" i="1"/>
  <c r="L30" i="1" s="1"/>
  <c r="K31" i="1"/>
  <c r="L31" i="1" s="1"/>
  <c r="K32" i="1"/>
  <c r="L32" i="1" s="1"/>
  <c r="K33" i="1"/>
  <c r="L33" i="1" s="1"/>
  <c r="K34" i="1"/>
  <c r="L34" i="1" s="1"/>
  <c r="K35" i="1"/>
  <c r="L35" i="1" s="1"/>
  <c r="K36" i="1"/>
  <c r="L36" i="1" s="1"/>
  <c r="K37" i="1"/>
  <c r="L37" i="1" s="1"/>
  <c r="K2" i="1"/>
  <c r="L2" i="1" s="1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2" i="1"/>
  <c r="E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2" i="1"/>
  <c r="H4" i="1"/>
  <c r="M4" i="1" s="1"/>
  <c r="H8" i="1"/>
  <c r="M8" i="1" s="1"/>
  <c r="H16" i="1"/>
  <c r="M16" i="1" s="1"/>
  <c r="H18" i="1"/>
  <c r="M18" i="1" s="1"/>
  <c r="H20" i="1"/>
  <c r="M20" i="1" s="1"/>
  <c r="H28" i="1"/>
  <c r="M28" i="1" s="1"/>
  <c r="H30" i="1"/>
  <c r="M30" i="1" s="1"/>
  <c r="H32" i="1"/>
  <c r="M32" i="1" s="1"/>
  <c r="H6" i="1" l="1"/>
  <c r="M6" i="1" s="1"/>
  <c r="H33" i="1"/>
  <c r="M33" i="1" s="1"/>
  <c r="H21" i="1"/>
  <c r="M21" i="1" s="1"/>
  <c r="H9" i="1"/>
  <c r="M9" i="1" s="1"/>
  <c r="H19" i="1"/>
  <c r="M19" i="1" s="1"/>
  <c r="H7" i="1"/>
  <c r="H29" i="1"/>
  <c r="M29" i="1" s="1"/>
  <c r="H17" i="1"/>
  <c r="M17" i="1" s="1"/>
  <c r="H5" i="1"/>
  <c r="M5" i="1" s="1"/>
  <c r="O2" i="1"/>
  <c r="K5" i="2"/>
  <c r="H35" i="1"/>
  <c r="H23" i="1"/>
  <c r="H11" i="1"/>
  <c r="M11" i="1" s="1"/>
  <c r="H26" i="1"/>
  <c r="M26" i="1" s="1"/>
  <c r="H14" i="1"/>
  <c r="M14" i="1" s="1"/>
  <c r="H37" i="1"/>
  <c r="M37" i="1" s="1"/>
  <c r="L2" i="2"/>
  <c r="H31" i="1"/>
  <c r="M31" i="1" s="1"/>
  <c r="H27" i="1"/>
  <c r="M27" i="1" s="1"/>
  <c r="H15" i="1"/>
  <c r="H3" i="1"/>
  <c r="M3" i="1" s="1"/>
  <c r="H3" i="2"/>
  <c r="G4" i="2"/>
  <c r="G5" i="2"/>
  <c r="J5" i="2"/>
  <c r="M5" i="2"/>
  <c r="K2" i="2"/>
  <c r="N2" i="2"/>
  <c r="H2" i="2"/>
  <c r="K3" i="2"/>
  <c r="N3" i="2"/>
  <c r="H4" i="2"/>
  <c r="N5" i="2"/>
  <c r="H5" i="2"/>
  <c r="F2" i="2"/>
  <c r="I2" i="2"/>
  <c r="L3" i="2"/>
  <c r="O30" i="1"/>
  <c r="F3" i="2"/>
  <c r="I3" i="2"/>
  <c r="L4" i="2"/>
  <c r="F4" i="2"/>
  <c r="I4" i="2"/>
  <c r="L5" i="2"/>
  <c r="F5" i="2"/>
  <c r="I5" i="2"/>
  <c r="M2" i="2"/>
  <c r="G2" i="2"/>
  <c r="J3" i="2"/>
  <c r="M3" i="2"/>
  <c r="K4" i="2"/>
  <c r="N4" i="2"/>
  <c r="O18" i="1"/>
  <c r="G3" i="2"/>
  <c r="J4" i="2"/>
  <c r="M4" i="2"/>
  <c r="J2" i="2"/>
  <c r="O34" i="1"/>
  <c r="O10" i="1"/>
  <c r="Q4" i="2"/>
  <c r="O6" i="1"/>
  <c r="O22" i="1"/>
  <c r="O26" i="1"/>
  <c r="O14" i="1"/>
  <c r="W5" i="2"/>
  <c r="AE4" i="2"/>
  <c r="U4" i="2"/>
  <c r="AA4" i="2"/>
  <c r="Q5" i="2"/>
  <c r="S5" i="2"/>
  <c r="W2" i="2"/>
  <c r="O4" i="2"/>
  <c r="Y5" i="2"/>
  <c r="AC4" i="2"/>
  <c r="W4" i="2"/>
  <c r="Y4" i="2"/>
  <c r="S4" i="2"/>
  <c r="O2" i="2"/>
  <c r="U5" i="2" l="1"/>
  <c r="W3" i="2"/>
  <c r="O5" i="2"/>
  <c r="Q3" i="2"/>
  <c r="M7" i="1"/>
  <c r="Y3" i="2"/>
  <c r="M23" i="1"/>
  <c r="AC5" i="2"/>
  <c r="U3" i="2"/>
  <c r="M15" i="1"/>
  <c r="AE3" i="2"/>
  <c r="M35" i="1"/>
  <c r="AA5" i="2"/>
  <c r="I31" i="1"/>
  <c r="AD3" i="2" s="1"/>
  <c r="AC3" i="2"/>
  <c r="AE5" i="2"/>
  <c r="O3" i="2"/>
  <c r="S3" i="2"/>
  <c r="AA3" i="2"/>
  <c r="Y2" i="2"/>
  <c r="Q2" i="2"/>
  <c r="S2" i="2"/>
  <c r="AE2" i="2"/>
  <c r="AA2" i="2"/>
  <c r="AC2" i="2"/>
  <c r="U2" i="2"/>
  <c r="I10" i="1"/>
  <c r="T2" i="2" s="1"/>
  <c r="I13" i="1"/>
  <c r="T5" i="2" s="1"/>
  <c r="I15" i="1"/>
  <c r="V3" i="2" s="1"/>
  <c r="I19" i="1"/>
  <c r="X3" i="2" s="1"/>
  <c r="I2" i="1"/>
  <c r="P2" i="2" s="1"/>
  <c r="I20" i="1"/>
  <c r="X4" i="2" s="1"/>
  <c r="I23" i="1"/>
  <c r="Z3" i="2" s="1"/>
  <c r="I34" i="1"/>
  <c r="AF2" i="2" s="1"/>
  <c r="I18" i="1"/>
  <c r="X2" i="2" s="1"/>
  <c r="I3" i="1"/>
  <c r="P3" i="2" s="1"/>
  <c r="I24" i="1"/>
  <c r="Z4" i="2" s="1"/>
  <c r="I30" i="1"/>
  <c r="AD2" i="2" s="1"/>
  <c r="I35" i="1"/>
  <c r="AF3" i="2" s="1"/>
  <c r="I28" i="1"/>
  <c r="AB4" i="2" s="1"/>
  <c r="I8" i="1"/>
  <c r="R4" i="2" s="1"/>
  <c r="I5" i="1"/>
  <c r="P5" i="2" s="1"/>
  <c r="I12" i="1"/>
  <c r="T4" i="2" s="1"/>
  <c r="I26" i="1"/>
  <c r="AB2" i="2" s="1"/>
  <c r="I9" i="1"/>
  <c r="R5" i="2" s="1"/>
  <c r="I16" i="1"/>
  <c r="V4" i="2" s="1"/>
  <c r="I33" i="1"/>
  <c r="AD5" i="2" s="1"/>
  <c r="I25" i="1"/>
  <c r="Z5" i="2" s="1"/>
  <c r="I36" i="1"/>
  <c r="AF4" i="2" s="1"/>
  <c r="I6" i="1"/>
  <c r="R2" i="2" s="1"/>
  <c r="I29" i="1"/>
  <c r="AB5" i="2" s="1"/>
  <c r="I21" i="1"/>
  <c r="X5" i="2" s="1"/>
  <c r="I27" i="1"/>
  <c r="AB3" i="2" s="1"/>
  <c r="I22" i="1"/>
  <c r="Z2" i="2" s="1"/>
  <c r="I17" i="1"/>
  <c r="V5" i="2" s="1"/>
  <c r="I32" i="1"/>
  <c r="AD4" i="2" s="1"/>
  <c r="I37" i="1"/>
  <c r="AF5" i="2" s="1"/>
  <c r="I14" i="1"/>
  <c r="V2" i="2" s="1"/>
  <c r="I7" i="1"/>
  <c r="R3" i="2" s="1"/>
  <c r="I4" i="1"/>
  <c r="P4" i="2" s="1"/>
  <c r="I11" i="1"/>
  <c r="T3" i="2" s="1"/>
  <c r="S6" i="1" l="1"/>
  <c r="E3" i="2" s="1"/>
  <c r="Q2" i="1"/>
  <c r="T2" i="1" s="1"/>
  <c r="B2" i="2" s="1"/>
  <c r="S10" i="1"/>
  <c r="E4" i="2" s="1"/>
  <c r="S14" i="1"/>
  <c r="E5" i="2" s="1"/>
  <c r="S34" i="1"/>
  <c r="E10" i="2" s="1"/>
  <c r="S22" i="1"/>
  <c r="E7" i="2" s="1"/>
  <c r="S2" i="1"/>
  <c r="E2" i="2" s="1"/>
  <c r="Q34" i="1"/>
  <c r="Q6" i="1"/>
  <c r="Q26" i="1"/>
  <c r="Q30" i="1"/>
  <c r="S26" i="1"/>
  <c r="E8" i="2" s="1"/>
  <c r="S30" i="1"/>
  <c r="E9" i="2" s="1"/>
  <c r="Q22" i="1"/>
  <c r="Q18" i="1"/>
  <c r="Q14" i="1"/>
  <c r="S18" i="1"/>
  <c r="E6" i="2" s="1"/>
  <c r="Q10" i="1"/>
  <c r="N10" i="1" l="1"/>
  <c r="N13" i="1"/>
  <c r="N12" i="1"/>
  <c r="N11" i="1"/>
  <c r="N33" i="1"/>
  <c r="N32" i="1"/>
  <c r="N30" i="1"/>
  <c r="N31" i="1"/>
  <c r="N28" i="1"/>
  <c r="N29" i="1"/>
  <c r="N27" i="1"/>
  <c r="N26" i="1"/>
  <c r="N36" i="1"/>
  <c r="N34" i="1"/>
  <c r="N35" i="1"/>
  <c r="N37" i="1"/>
  <c r="N16" i="1"/>
  <c r="N17" i="1"/>
  <c r="N15" i="1"/>
  <c r="N14" i="1"/>
  <c r="N24" i="1"/>
  <c r="N22" i="1"/>
  <c r="N25" i="1"/>
  <c r="N23" i="1"/>
  <c r="N6" i="1"/>
  <c r="N9" i="1"/>
  <c r="N8" i="1"/>
  <c r="N7" i="1"/>
  <c r="N20" i="1"/>
  <c r="N18" i="1"/>
  <c r="N19" i="1"/>
  <c r="N21" i="1"/>
  <c r="N5" i="1"/>
  <c r="N2" i="1"/>
  <c r="N4" i="1"/>
  <c r="N3" i="1"/>
  <c r="D2" i="2"/>
  <c r="T22" i="1"/>
  <c r="B7" i="2" s="1"/>
  <c r="D7" i="2"/>
  <c r="T6" i="1"/>
  <c r="B3" i="2" s="1"/>
  <c r="D3" i="2"/>
  <c r="T30" i="1"/>
  <c r="B9" i="2" s="1"/>
  <c r="D9" i="2"/>
  <c r="T26" i="1"/>
  <c r="B8" i="2" s="1"/>
  <c r="D8" i="2"/>
  <c r="T34" i="1"/>
  <c r="B10" i="2" s="1"/>
  <c r="D10" i="2"/>
  <c r="T10" i="1"/>
  <c r="B4" i="2" s="1"/>
  <c r="D4" i="2"/>
  <c r="T14" i="1"/>
  <c r="B5" i="2" s="1"/>
  <c r="D5" i="2"/>
  <c r="T18" i="1"/>
  <c r="B6" i="2" s="1"/>
  <c r="D6" i="2"/>
  <c r="P22" i="1" l="1"/>
  <c r="R22" i="1" s="1"/>
  <c r="U22" i="1" s="1"/>
  <c r="C7" i="2" s="1"/>
  <c r="P34" i="1"/>
  <c r="R34" i="1" s="1"/>
  <c r="U34" i="1" s="1"/>
  <c r="C10" i="2" s="1"/>
  <c r="P30" i="1"/>
  <c r="R30" i="1" s="1"/>
  <c r="U30" i="1" s="1"/>
  <c r="C9" i="2" s="1"/>
  <c r="P2" i="1"/>
  <c r="R2" i="1" s="1"/>
  <c r="U2" i="1" s="1"/>
  <c r="C2" i="2" s="1"/>
  <c r="P26" i="1"/>
  <c r="R26" i="1" s="1"/>
  <c r="U26" i="1" s="1"/>
  <c r="C8" i="2" s="1"/>
  <c r="P18" i="1"/>
  <c r="R18" i="1" s="1"/>
  <c r="U18" i="1" s="1"/>
  <c r="C6" i="2" s="1"/>
  <c r="P10" i="1"/>
  <c r="R10" i="1" s="1"/>
  <c r="U10" i="1" s="1"/>
  <c r="C4" i="2" s="1"/>
  <c r="P6" i="1"/>
  <c r="R6" i="1" s="1"/>
  <c r="U6" i="1" s="1"/>
  <c r="C3" i="2" s="1"/>
  <c r="P14" i="1"/>
  <c r="R14" i="1" s="1"/>
  <c r="U14" i="1" s="1"/>
  <c r="C5" i="2" s="1"/>
</calcChain>
</file>

<file path=xl/sharedStrings.xml><?xml version="1.0" encoding="utf-8"?>
<sst xmlns="http://schemas.openxmlformats.org/spreadsheetml/2006/main" count="53" uniqueCount="49">
  <si>
    <t>Angle</t>
  </si>
  <si>
    <t>ChopperFrequency</t>
  </si>
  <si>
    <t>ActualFrequency</t>
  </si>
  <si>
    <t>DiscRadiusCM</t>
  </si>
  <si>
    <t>FWHMUS</t>
  </si>
  <si>
    <t>FWHMS</t>
  </si>
  <si>
    <t>AxialPositionCM</t>
  </si>
  <si>
    <t>BeamWidth</t>
  </si>
  <si>
    <t>AxialPositionMM</t>
  </si>
  <si>
    <t>Slope</t>
  </si>
  <si>
    <t>Delta</t>
  </si>
  <si>
    <t>X2</t>
  </si>
  <si>
    <t>XY</t>
  </si>
  <si>
    <t>DivergenceHalfAngle</t>
  </si>
  <si>
    <t>BeamWidth_40</t>
  </si>
  <si>
    <t>BeamWidth_30</t>
  </si>
  <si>
    <t>BeamWidth_20</t>
  </si>
  <si>
    <t>BeamWidth_10</t>
  </si>
  <si>
    <t>BeamWidth0</t>
  </si>
  <si>
    <t>BeamWidth10</t>
  </si>
  <si>
    <t>BeamWidth20</t>
  </si>
  <si>
    <t>BeamWidth30</t>
  </si>
  <si>
    <t>BeamWidth40</t>
  </si>
  <si>
    <t>Yint</t>
  </si>
  <si>
    <t>YInt</t>
  </si>
  <si>
    <t>AxialPositionMM_40</t>
  </si>
  <si>
    <t>AxialPositionMM_30</t>
  </si>
  <si>
    <t>AxialPositionMM_20</t>
  </si>
  <si>
    <t>AxialPositionMM_10</t>
  </si>
  <si>
    <t>AxialPositionMM0</t>
  </si>
  <si>
    <t>AxialPositionMM10</t>
  </si>
  <si>
    <t>AxialPositionMM20</t>
  </si>
  <si>
    <t>AxialPositionMM30</t>
  </si>
  <si>
    <t>AxialPositionMM40</t>
  </si>
  <si>
    <t>BeamWidth_40U</t>
  </si>
  <si>
    <t>BeamWidth_30U</t>
  </si>
  <si>
    <t>BeamWidth_20U</t>
  </si>
  <si>
    <t>BeamWidth_10U</t>
  </si>
  <si>
    <t>BeamWidth0U</t>
  </si>
  <si>
    <t>BeamWidth20U</t>
  </si>
  <si>
    <t>BeamWidth10U</t>
  </si>
  <si>
    <t>BeamWidth30U</t>
  </si>
  <si>
    <t>BeamWidth40U</t>
  </si>
  <si>
    <t>SlopeU</t>
  </si>
  <si>
    <t>DivergenceHalfAngleU</t>
  </si>
  <si>
    <t>DiscRadiusMM</t>
  </si>
  <si>
    <t>BeamWidthU</t>
  </si>
  <si>
    <t>CU</t>
  </si>
  <si>
    <t>y-mx-b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</si>
</sst>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64" formatCode="0.000000"/>
    <numFmt numFmtId="165" formatCode="0.000"/>
    <numFmt numFmtId="166" formatCode="0.0"/>
    <numFmt numFmtId="167" formatCode="0.0000000"/>
    <numFmt numFmtId="168" formatCode="0.00000"/>
    <numFmt numFmtId="169" formatCode="0.0%"/>
    <numFmt numFmtId="170" formatCode="0.0000"/>
    <numFmt numFmtId="171" formatCode="0.00000000"/>
  </numFmts>
  <fonts count="3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14">
    <xf numFmtId="0" fontId="0" fillId="0" borderId="0" xfId="0"/>
    <xf numFmtId="164" fontId="0" fillId="0" borderId="0" xfId="0" applyNumberFormat="1"/>
    <xf numFmtId="165" fontId="0" fillId="0" borderId="0" xfId="0" applyNumberFormat="1"/>
    <xf numFmtId="2" fontId="0" fillId="0" borderId="0" xfId="0" applyNumberFormat="1"/>
    <xf numFmtId="166" fontId="0" fillId="0" borderId="0" xfId="0" applyNumberFormat="1"/>
    <xf numFmtId="167" fontId="0" fillId="0" borderId="0" xfId="0" applyNumberFormat="1"/>
    <xf numFmtId="168" fontId="0" fillId="0" borderId="0" xfId="0" applyNumberFormat="1"/>
    <xf numFmtId="1" fontId="0" fillId="0" borderId="0" xfId="0" applyNumberFormat="1"/>
    <xf numFmtId="169" fontId="0" fillId="0" borderId="0" xfId="0" applyNumberFormat="1"/>
    <xf numFmtId="168" fontId="0" fillId="0" borderId="0" xfId="1" applyNumberFormat="1" applyFont="1"/>
    <xf numFmtId="170" fontId="0" fillId="0" borderId="0" xfId="0" applyNumberFormat="1"/>
    <xf numFmtId="171" fontId="0" fillId="0" borderId="0" xfId="0" applyNumberFormat="1"/>
    <xf numFmtId="11" fontId="0" fillId="0" borderId="0" xfId="0" applyNumberFormat="1"/>
    <xf numFmtId="170" fontId="0" fillId="0" borderId="0" xfId="1" applyNumberFormat="1" applyFont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AD4B62-2AC5-4D1B-99B3-3FB719FC351A}">
  <sheetPr codeName="Sheet1"/>
  <dimension ref="A1:U39"/>
  <sheetViews>
    <sheetView tabSelected="1" workbookViewId="0">
      <selection activeCell="M16" sqref="M16"/>
    </sheetView>
  </sheetViews>
  <sheetFormatPr defaultRowHeight="15" x14ac:dyDescent="0.25"/>
  <cols>
    <col min="1" max="1" width="5.85546875" bestFit="1" customWidth="1"/>
    <col min="2" max="2" width="17.7109375" bestFit="1" customWidth="1"/>
    <col min="3" max="3" width="15.7109375" bestFit="1" customWidth="1"/>
    <col min="4" max="4" width="13.85546875" bestFit="1" customWidth="1"/>
    <col min="5" max="5" width="14.28515625" bestFit="1" customWidth="1"/>
    <col min="6" max="6" width="8.85546875" bestFit="1" customWidth="1"/>
    <col min="7" max="7" width="8.5703125" bestFit="1" customWidth="1"/>
    <col min="8" max="8" width="11.140625" bestFit="1" customWidth="1"/>
    <col min="9" max="9" width="12.42578125" bestFit="1" customWidth="1"/>
    <col min="10" max="10" width="15.42578125" bestFit="1" customWidth="1"/>
    <col min="11" max="11" width="15.85546875" bestFit="1" customWidth="1"/>
    <col min="12" max="12" width="8.5703125" bestFit="1" customWidth="1"/>
    <col min="13" max="13" width="12" bestFit="1" customWidth="1"/>
    <col min="14" max="14" width="7.28515625" bestFit="1" customWidth="1"/>
    <col min="15" max="15" width="10" bestFit="1" customWidth="1"/>
    <col min="16" max="16" width="7.5703125" bestFit="1" customWidth="1"/>
    <col min="17" max="17" width="9.5703125" bestFit="1" customWidth="1"/>
    <col min="18" max="18" width="8.5703125" bestFit="1" customWidth="1"/>
    <col min="19" max="19" width="5.5703125" bestFit="1" customWidth="1"/>
    <col min="20" max="20" width="19.28515625" bestFit="1" customWidth="1"/>
    <col min="21" max="21" width="20.5703125" bestFit="1" customWidth="1"/>
  </cols>
  <sheetData>
    <row r="1" spans="1:21" x14ac:dyDescent="0.25">
      <c r="A1" t="s">
        <v>0</v>
      </c>
      <c r="B1" t="s">
        <v>1</v>
      </c>
      <c r="C1" t="s">
        <v>2</v>
      </c>
      <c r="D1" t="s">
        <v>3</v>
      </c>
      <c r="E1" t="s">
        <v>45</v>
      </c>
      <c r="F1" t="s">
        <v>4</v>
      </c>
      <c r="G1" t="s">
        <v>5</v>
      </c>
      <c r="H1" t="s">
        <v>7</v>
      </c>
      <c r="I1" t="s">
        <v>46</v>
      </c>
      <c r="J1" t="s">
        <v>6</v>
      </c>
      <c r="K1" s="4" t="s">
        <v>8</v>
      </c>
      <c r="L1" t="s">
        <v>11</v>
      </c>
      <c r="M1" t="s">
        <v>12</v>
      </c>
      <c r="N1" t="s">
        <v>48</v>
      </c>
      <c r="O1" t="s">
        <v>10</v>
      </c>
      <c r="P1" t="s">
        <v>47</v>
      </c>
      <c r="Q1" t="s">
        <v>9</v>
      </c>
      <c r="R1" t="s">
        <v>43</v>
      </c>
      <c r="S1" t="s">
        <v>23</v>
      </c>
      <c r="T1" t="s">
        <v>13</v>
      </c>
      <c r="U1" t="s">
        <v>44</v>
      </c>
    </row>
    <row r="2" spans="1:21" x14ac:dyDescent="0.25">
      <c r="A2">
        <v>-40</v>
      </c>
      <c r="B2">
        <v>538</v>
      </c>
      <c r="C2" s="4">
        <f>B2/5</f>
        <v>107.6</v>
      </c>
      <c r="D2" s="3">
        <v>2.65</v>
      </c>
      <c r="E2" s="4">
        <f>D2*10</f>
        <v>26.5</v>
      </c>
      <c r="F2">
        <v>223</v>
      </c>
      <c r="G2" s="1">
        <f>F2/1000000</f>
        <v>2.23E-4</v>
      </c>
      <c r="H2" s="2">
        <f>(2*PI()*C2*E2*G2)/(SQRT(2*LN(2)))</f>
        <v>3.3932444569269644</v>
      </c>
      <c r="I2" s="2">
        <f>(H2*2*PI()*SQRT((((B2*0.02+1)/30)/B2)^2+(0.5/E2)^2+(0.000002/G2)^2))/SQRT(2*LN(2))</f>
        <v>0.3785217414391307</v>
      </c>
      <c r="J2" s="3">
        <v>38.1</v>
      </c>
      <c r="K2" s="4">
        <f>J2*10</f>
        <v>381</v>
      </c>
      <c r="L2" s="4">
        <f t="shared" ref="L2:L37" si="0">K2^2</f>
        <v>145161</v>
      </c>
      <c r="M2">
        <f>K2*H2</f>
        <v>1292.8261380891734</v>
      </c>
      <c r="N2" s="13">
        <f>H2-Q2*K2-S2</f>
        <v>-2.6720916129596262E-2</v>
      </c>
      <c r="O2">
        <f>4*SUM(L2:L5)-(SUM(K2:K5))^2</f>
        <v>198432</v>
      </c>
      <c r="P2" s="9">
        <f>SQRT((SUM(N2:N5))^2/2)</f>
        <v>6.2803698347351005E-15</v>
      </c>
      <c r="Q2" s="1">
        <f>(4*SUM(M2:M5)-SUM(H2:H5)*SUM(K2:K5))/O2</f>
        <v>-5.3461708778827196E-3</v>
      </c>
      <c r="R2" s="1">
        <f>P2*SQRT(4/O2)</f>
        <v>2.8197419131457842E-17</v>
      </c>
      <c r="S2" s="2">
        <f>(SUM(L2:L5)*SUM(H2:H5)-SUM(K2:K5)*SUM(M2:M5))/O2</f>
        <v>5.4568564775298771</v>
      </c>
      <c r="T2" s="2">
        <f>1000*ATAN(Q2)</f>
        <v>-5.3461199448184544</v>
      </c>
      <c r="U2" s="12">
        <f>1000*ATAN(R2)</f>
        <v>2.8197419131457842E-14</v>
      </c>
    </row>
    <row r="3" spans="1:21" x14ac:dyDescent="0.25">
      <c r="A3">
        <v>-40</v>
      </c>
      <c r="B3">
        <v>536</v>
      </c>
      <c r="C3" s="4">
        <f t="shared" ref="C3:C37" si="1">B3/5</f>
        <v>107.2</v>
      </c>
      <c r="D3" s="3">
        <v>2.8</v>
      </c>
      <c r="E3" s="4">
        <f t="shared" ref="E3:E29" si="2">D3*10</f>
        <v>28</v>
      </c>
      <c r="F3">
        <v>248</v>
      </c>
      <c r="G3" s="1">
        <f t="shared" ref="G3:G29" si="3">F3/1000000</f>
        <v>2.4800000000000001E-4</v>
      </c>
      <c r="H3" s="2">
        <f t="shared" ref="H3:H37" si="4">(2*PI()*C3*E3*G3)/(SQRT(2*LN(2)))</f>
        <v>3.9724335168125595</v>
      </c>
      <c r="I3" s="2">
        <f t="shared" ref="I3:I37" si="5">(H3*2*PI()*SQRT((((B3*0.02+1)/30)/B3)^2+(0.5/E3)^2+(0.000002/G3)^2))/SQRT(2*LN(2))</f>
        <v>0.41564829192926311</v>
      </c>
      <c r="J3" s="3">
        <v>28.5</v>
      </c>
      <c r="K3" s="4">
        <f t="shared" ref="K3:K37" si="6">J3*10</f>
        <v>285</v>
      </c>
      <c r="L3" s="4">
        <f t="shared" si="0"/>
        <v>81225</v>
      </c>
      <c r="M3">
        <f t="shared" ref="M3:M37" si="7">K3*H3</f>
        <v>1132.1435522915795</v>
      </c>
      <c r="N3" s="13">
        <f>H3-Q2*K3-S2</f>
        <v>3.9235739479257958E-2</v>
      </c>
      <c r="P3" s="9"/>
      <c r="Q3" s="1"/>
      <c r="R3" s="1"/>
      <c r="S3" s="2"/>
      <c r="T3" s="2"/>
      <c r="U3" s="12"/>
    </row>
    <row r="4" spans="1:21" x14ac:dyDescent="0.25">
      <c r="A4">
        <v>-40</v>
      </c>
      <c r="B4">
        <v>545</v>
      </c>
      <c r="C4" s="4">
        <f t="shared" si="1"/>
        <v>109</v>
      </c>
      <c r="D4" s="3">
        <v>2.8</v>
      </c>
      <c r="E4" s="4">
        <f t="shared" si="2"/>
        <v>28</v>
      </c>
      <c r="F4">
        <v>275</v>
      </c>
      <c r="G4" s="1">
        <f t="shared" si="3"/>
        <v>2.7500000000000002E-4</v>
      </c>
      <c r="H4" s="2">
        <f t="shared" si="4"/>
        <v>4.4788793431954304</v>
      </c>
      <c r="I4" s="2">
        <f t="shared" si="5"/>
        <v>0.46117731064138623</v>
      </c>
      <c r="J4" s="3">
        <v>18.3</v>
      </c>
      <c r="K4" s="4">
        <f t="shared" si="6"/>
        <v>183</v>
      </c>
      <c r="L4" s="4">
        <f t="shared" si="0"/>
        <v>33489</v>
      </c>
      <c r="M4">
        <f t="shared" si="7"/>
        <v>819.63491980476374</v>
      </c>
      <c r="N4" s="13">
        <f>H4-Q2*K4-S2</f>
        <v>3.721363180906323E-4</v>
      </c>
      <c r="P4" s="9"/>
      <c r="Q4" s="1"/>
      <c r="R4" s="1"/>
      <c r="S4" s="2"/>
      <c r="T4" s="2"/>
      <c r="U4" s="12"/>
    </row>
    <row r="5" spans="1:21" x14ac:dyDescent="0.25">
      <c r="A5">
        <v>-40</v>
      </c>
      <c r="B5">
        <v>539</v>
      </c>
      <c r="C5" s="4">
        <f t="shared" si="1"/>
        <v>107.8</v>
      </c>
      <c r="D5" s="3">
        <v>2.65</v>
      </c>
      <c r="E5" s="4">
        <f t="shared" si="2"/>
        <v>26.5</v>
      </c>
      <c r="F5">
        <v>328</v>
      </c>
      <c r="G5" s="1">
        <f t="shared" si="3"/>
        <v>3.28E-4</v>
      </c>
      <c r="H5" s="2">
        <f t="shared" si="4"/>
        <v>5.0002373349978502</v>
      </c>
      <c r="I5" s="2">
        <f t="shared" si="5"/>
        <v>0.52945704852794095</v>
      </c>
      <c r="J5" s="3">
        <v>8.3000000000000007</v>
      </c>
      <c r="K5" s="4">
        <f t="shared" si="6"/>
        <v>83</v>
      </c>
      <c r="L5" s="4">
        <f t="shared" si="0"/>
        <v>6889</v>
      </c>
      <c r="M5">
        <f t="shared" si="7"/>
        <v>415.01969880482159</v>
      </c>
      <c r="N5" s="13">
        <f>H5-Q2*K5-S2</f>
        <v>-1.2886959667761211E-2</v>
      </c>
      <c r="P5" s="9"/>
      <c r="Q5" s="1"/>
      <c r="R5" s="1"/>
      <c r="S5" s="2"/>
      <c r="T5" s="2"/>
      <c r="U5" s="12"/>
    </row>
    <row r="6" spans="1:21" x14ac:dyDescent="0.25">
      <c r="A6">
        <v>-30</v>
      </c>
      <c r="B6">
        <v>628</v>
      </c>
      <c r="C6" s="4">
        <f t="shared" si="1"/>
        <v>125.6</v>
      </c>
      <c r="D6" s="3">
        <v>3</v>
      </c>
      <c r="E6" s="4">
        <f t="shared" si="2"/>
        <v>30</v>
      </c>
      <c r="F6">
        <v>194</v>
      </c>
      <c r="G6" s="1">
        <f t="shared" si="3"/>
        <v>1.94E-4</v>
      </c>
      <c r="H6" s="2">
        <f t="shared" si="4"/>
        <v>3.9008995220315907</v>
      </c>
      <c r="I6" s="2">
        <f t="shared" si="5"/>
        <v>0.40823343872349294</v>
      </c>
      <c r="J6" s="3">
        <v>35.6</v>
      </c>
      <c r="K6" s="4">
        <f t="shared" si="6"/>
        <v>356</v>
      </c>
      <c r="L6" s="4">
        <f t="shared" si="0"/>
        <v>126736</v>
      </c>
      <c r="M6">
        <f t="shared" si="7"/>
        <v>1388.7202298432462</v>
      </c>
      <c r="N6" s="13">
        <f>H6-Q6*K6-S6</f>
        <v>5.4367925562056385E-2</v>
      </c>
      <c r="O6">
        <f>4*SUM(L6:L9)-(SUM(K6:K9))^2</f>
        <v>171515</v>
      </c>
      <c r="P6" s="9">
        <f>SQRT((SUM(N6:N9))^2/2)</f>
        <v>8.16448078515563E-15</v>
      </c>
      <c r="Q6" s="1">
        <f>(4*SUM(M6:M9)-SUM(H6:H9)*SUM(K6:K9))/O6</f>
        <v>-4.5660013001348121E-3</v>
      </c>
      <c r="R6" s="1">
        <f>P6*SQRT(4/O6)</f>
        <v>3.9428251045725413E-17</v>
      </c>
      <c r="S6" s="2">
        <f>(SUM(L6:L9)*SUM(H6:H9)-SUM(K6:K9)*SUM(M6:M9))/O6</f>
        <v>5.4720280593175277</v>
      </c>
      <c r="T6" s="2">
        <f>1000*ATAN(Q6)</f>
        <v>-4.5659695693067945</v>
      </c>
      <c r="U6" s="12">
        <f t="shared" ref="U6:U34" si="8">1000*ATAN(R6)</f>
        <v>3.9428251045725415E-14</v>
      </c>
    </row>
    <row r="7" spans="1:21" x14ac:dyDescent="0.25">
      <c r="A7">
        <v>-30</v>
      </c>
      <c r="B7">
        <v>610</v>
      </c>
      <c r="C7" s="4">
        <f t="shared" si="1"/>
        <v>122</v>
      </c>
      <c r="D7" s="3">
        <v>2.85</v>
      </c>
      <c r="E7" s="4">
        <f t="shared" si="2"/>
        <v>28.5</v>
      </c>
      <c r="F7">
        <v>224</v>
      </c>
      <c r="G7" s="1">
        <f t="shared" si="3"/>
        <v>2.24E-4</v>
      </c>
      <c r="H7" s="2">
        <f t="shared" si="4"/>
        <v>4.156280494089212</v>
      </c>
      <c r="I7" s="2">
        <f t="shared" si="5"/>
        <v>0.43690577801946273</v>
      </c>
      <c r="J7" s="3">
        <v>28.5</v>
      </c>
      <c r="K7" s="4">
        <f t="shared" si="6"/>
        <v>285</v>
      </c>
      <c r="L7" s="4">
        <f t="shared" si="0"/>
        <v>81225</v>
      </c>
      <c r="M7">
        <f t="shared" si="7"/>
        <v>1184.5399408154253</v>
      </c>
      <c r="N7" s="13">
        <f>H7-Q6*K7-S6</f>
        <v>-1.4437194689894461E-2</v>
      </c>
      <c r="P7" s="9"/>
      <c r="Q7" s="1"/>
      <c r="R7" s="1"/>
      <c r="S7" s="2"/>
      <c r="T7" s="2"/>
      <c r="U7" s="12"/>
    </row>
    <row r="8" spans="1:21" x14ac:dyDescent="0.25">
      <c r="A8">
        <v>-30</v>
      </c>
      <c r="B8">
        <v>638</v>
      </c>
      <c r="C8" s="4">
        <f t="shared" si="1"/>
        <v>127.6</v>
      </c>
      <c r="D8" s="3">
        <v>2.6</v>
      </c>
      <c r="E8" s="4">
        <f t="shared" si="2"/>
        <v>26</v>
      </c>
      <c r="F8">
        <v>255</v>
      </c>
      <c r="G8" s="1">
        <f t="shared" si="3"/>
        <v>2.5500000000000002E-4</v>
      </c>
      <c r="H8" s="2">
        <f t="shared" si="4"/>
        <v>4.5145694957598197</v>
      </c>
      <c r="I8" s="2">
        <f t="shared" si="5"/>
        <v>0.50065322513610799</v>
      </c>
      <c r="J8" s="3">
        <v>18.399999999999999</v>
      </c>
      <c r="K8" s="4">
        <f t="shared" si="6"/>
        <v>184</v>
      </c>
      <c r="L8" s="4">
        <f t="shared" si="0"/>
        <v>33856</v>
      </c>
      <c r="M8">
        <f t="shared" si="7"/>
        <v>830.6807872198068</v>
      </c>
      <c r="N8" s="13">
        <f>H8-Q6*K8-S6</f>
        <v>-0.11731432433290223</v>
      </c>
      <c r="P8" s="9"/>
      <c r="Q8" s="1"/>
      <c r="R8" s="1"/>
      <c r="S8" s="2"/>
      <c r="T8" s="2"/>
      <c r="U8" s="12"/>
    </row>
    <row r="9" spans="1:21" x14ac:dyDescent="0.25">
      <c r="A9">
        <v>-30</v>
      </c>
      <c r="B9">
        <v>639</v>
      </c>
      <c r="C9" s="4">
        <f t="shared" si="1"/>
        <v>127.8</v>
      </c>
      <c r="D9" s="3">
        <v>2.8</v>
      </c>
      <c r="E9" s="4">
        <f t="shared" si="2"/>
        <v>28</v>
      </c>
      <c r="F9">
        <v>271</v>
      </c>
      <c r="G9" s="1">
        <f t="shared" si="3"/>
        <v>2.7099999999999997E-4</v>
      </c>
      <c r="H9" s="2">
        <f t="shared" si="4"/>
        <v>5.1749995461672018</v>
      </c>
      <c r="I9" s="2">
        <f t="shared" si="5"/>
        <v>0.5339699497684447</v>
      </c>
      <c r="J9" s="3">
        <v>8.1999999999999993</v>
      </c>
      <c r="K9" s="4">
        <f t="shared" si="6"/>
        <v>82</v>
      </c>
      <c r="L9" s="4">
        <f t="shared" si="0"/>
        <v>6724</v>
      </c>
      <c r="M9">
        <f t="shared" si="7"/>
        <v>424.34996278571055</v>
      </c>
      <c r="N9" s="13">
        <f>H9-Q6*K9-S6</f>
        <v>7.7383593460728761E-2</v>
      </c>
      <c r="P9" s="9"/>
      <c r="Q9" s="1"/>
      <c r="R9" s="1"/>
      <c r="S9" s="2"/>
      <c r="T9" s="2"/>
      <c r="U9" s="12"/>
    </row>
    <row r="10" spans="1:21" x14ac:dyDescent="0.25">
      <c r="A10">
        <v>-20</v>
      </c>
      <c r="B10">
        <v>577</v>
      </c>
      <c r="C10" s="4">
        <f t="shared" si="1"/>
        <v>115.4</v>
      </c>
      <c r="D10" s="3">
        <v>2.6</v>
      </c>
      <c r="E10" s="4">
        <f t="shared" si="2"/>
        <v>26</v>
      </c>
      <c r="F10">
        <v>258</v>
      </c>
      <c r="G10" s="1">
        <f t="shared" si="3"/>
        <v>2.5799999999999998E-4</v>
      </c>
      <c r="H10" s="2">
        <f t="shared" si="4"/>
        <v>4.1309601238907199</v>
      </c>
      <c r="I10" s="2">
        <f t="shared" si="5"/>
        <v>0.45736125566860381</v>
      </c>
      <c r="J10" s="3">
        <v>38.1</v>
      </c>
      <c r="K10" s="4">
        <f t="shared" si="6"/>
        <v>381</v>
      </c>
      <c r="L10" s="4">
        <f t="shared" si="0"/>
        <v>145161</v>
      </c>
      <c r="M10">
        <f t="shared" si="7"/>
        <v>1573.8958072023643</v>
      </c>
      <c r="N10" s="13">
        <f>H10-Q10*K10-S10</f>
        <v>-9.4335581862159401E-3</v>
      </c>
      <c r="O10">
        <f>4*SUM(L10:L13)-(SUM(K10:K13))^2</f>
        <v>167784</v>
      </c>
      <c r="P10" s="9">
        <f>SQRT((SUM(N10:N13))^2/2)</f>
        <v>5.6523328512615901E-15</v>
      </c>
      <c r="Q10" s="1">
        <f>(4*SUM(M10:M13)-SUM(H10:H13)*SUM(K10:K13))/O10</f>
        <v>-3.6607113974544258E-3</v>
      </c>
      <c r="R10" s="1">
        <f>P10*SQRT(4/O10)</f>
        <v>2.7598307684984459E-17</v>
      </c>
      <c r="S10" s="2">
        <f>(SUM(L10:L13)*SUM(H10:H13)-SUM(K10:K13)*SUM(M10:M13))/O10</f>
        <v>5.5351247245070718</v>
      </c>
      <c r="T10" s="2">
        <f>1000*ATAN(Q10)</f>
        <v>-3.6606950454224556</v>
      </c>
      <c r="U10" s="12">
        <f t="shared" si="8"/>
        <v>2.7598307684984461E-14</v>
      </c>
    </row>
    <row r="11" spans="1:21" x14ac:dyDescent="0.25">
      <c r="A11">
        <v>-20</v>
      </c>
      <c r="B11">
        <v>581</v>
      </c>
      <c r="C11" s="4">
        <f t="shared" si="1"/>
        <v>116.2</v>
      </c>
      <c r="D11" s="3">
        <v>2.7</v>
      </c>
      <c r="E11" s="4">
        <f t="shared" si="2"/>
        <v>27</v>
      </c>
      <c r="F11">
        <v>261</v>
      </c>
      <c r="G11" s="1">
        <f t="shared" si="3"/>
        <v>2.61E-4</v>
      </c>
      <c r="H11" s="2">
        <f t="shared" si="4"/>
        <v>4.369809852734531</v>
      </c>
      <c r="I11" s="2">
        <f t="shared" si="5"/>
        <v>0.46765358617391284</v>
      </c>
      <c r="J11" s="3">
        <v>30.5</v>
      </c>
      <c r="K11" s="4">
        <f t="shared" si="6"/>
        <v>305</v>
      </c>
      <c r="L11" s="4">
        <f t="shared" si="0"/>
        <v>93025</v>
      </c>
      <c r="M11">
        <f t="shared" si="7"/>
        <v>1332.7920050840319</v>
      </c>
      <c r="N11" s="13">
        <f>H11-Q10*K11-S10</f>
        <v>-4.8797895548941206E-2</v>
      </c>
      <c r="P11" s="9"/>
      <c r="Q11" s="1"/>
      <c r="R11" s="1"/>
      <c r="S11" s="2"/>
      <c r="T11" s="2"/>
      <c r="U11" s="12"/>
    </row>
    <row r="12" spans="1:21" x14ac:dyDescent="0.25">
      <c r="A12">
        <v>-20</v>
      </c>
      <c r="B12">
        <v>586</v>
      </c>
      <c r="C12" s="4">
        <f t="shared" si="1"/>
        <v>117.2</v>
      </c>
      <c r="D12" s="3">
        <v>2.8</v>
      </c>
      <c r="E12" s="4">
        <f t="shared" si="2"/>
        <v>28</v>
      </c>
      <c r="F12">
        <v>279</v>
      </c>
      <c r="G12" s="1">
        <f t="shared" si="3"/>
        <v>2.7900000000000001E-4</v>
      </c>
      <c r="H12" s="2">
        <f t="shared" si="4"/>
        <v>4.8858708879826107</v>
      </c>
      <c r="I12" s="2">
        <f t="shared" si="5"/>
        <v>0.50206146498415194</v>
      </c>
      <c r="J12" s="3">
        <v>21</v>
      </c>
      <c r="K12" s="4">
        <f t="shared" si="6"/>
        <v>210</v>
      </c>
      <c r="L12" s="4">
        <f t="shared" si="0"/>
        <v>44100</v>
      </c>
      <c r="M12">
        <f t="shared" si="7"/>
        <v>1026.0328864763483</v>
      </c>
      <c r="N12" s="13">
        <f>H12-Q10*K12-S10</f>
        <v>0.11949555694096858</v>
      </c>
      <c r="P12" s="9"/>
      <c r="Q12" s="1"/>
      <c r="R12" s="1"/>
      <c r="S12" s="2"/>
      <c r="T12" s="2"/>
      <c r="U12" s="12"/>
    </row>
    <row r="13" spans="1:21" x14ac:dyDescent="0.25">
      <c r="A13">
        <v>-20</v>
      </c>
      <c r="B13">
        <v>580</v>
      </c>
      <c r="C13" s="4">
        <f t="shared" si="1"/>
        <v>116</v>
      </c>
      <c r="D13" s="3">
        <v>2.8</v>
      </c>
      <c r="E13" s="4">
        <f t="shared" si="2"/>
        <v>28</v>
      </c>
      <c r="F13">
        <v>293</v>
      </c>
      <c r="G13" s="1">
        <f t="shared" si="3"/>
        <v>2.9300000000000002E-4</v>
      </c>
      <c r="H13" s="2">
        <f t="shared" si="4"/>
        <v>5.0785037903761907</v>
      </c>
      <c r="I13" s="2">
        <f t="shared" si="5"/>
        <v>0.51847248442193117</v>
      </c>
      <c r="J13" s="3">
        <v>10.8</v>
      </c>
      <c r="K13" s="4">
        <f t="shared" si="6"/>
        <v>108</v>
      </c>
      <c r="L13" s="4">
        <f t="shared" si="0"/>
        <v>11664</v>
      </c>
      <c r="M13">
        <f t="shared" si="7"/>
        <v>548.47840936062858</v>
      </c>
      <c r="N13" s="13">
        <f>H13-Q10*K13-S10</f>
        <v>-6.1264103205803444E-2</v>
      </c>
      <c r="P13" s="9"/>
      <c r="Q13" s="1"/>
      <c r="R13" s="1"/>
      <c r="S13" s="2"/>
      <c r="T13" s="2"/>
      <c r="U13" s="12"/>
    </row>
    <row r="14" spans="1:21" x14ac:dyDescent="0.25">
      <c r="A14">
        <v>-10</v>
      </c>
      <c r="B14">
        <v>571</v>
      </c>
      <c r="C14" s="4">
        <f t="shared" si="1"/>
        <v>114.2</v>
      </c>
      <c r="D14" s="3">
        <v>2.65</v>
      </c>
      <c r="E14" s="4">
        <f t="shared" si="2"/>
        <v>26.5</v>
      </c>
      <c r="F14">
        <v>305</v>
      </c>
      <c r="G14" s="1">
        <f t="shared" si="3"/>
        <v>3.0499999999999999E-4</v>
      </c>
      <c r="H14" s="2">
        <f t="shared" si="4"/>
        <v>4.9256546284704648</v>
      </c>
      <c r="I14" s="2">
        <f t="shared" si="5"/>
        <v>0.52539657740271839</v>
      </c>
      <c r="J14" s="3">
        <v>38</v>
      </c>
      <c r="K14" s="4">
        <f t="shared" si="6"/>
        <v>380</v>
      </c>
      <c r="L14" s="4">
        <f t="shared" si="0"/>
        <v>144400</v>
      </c>
      <c r="M14">
        <f t="shared" si="7"/>
        <v>1871.7487588187767</v>
      </c>
      <c r="N14" s="13">
        <f>H14-Q14*K14-S14</f>
        <v>4.7250192351168785E-2</v>
      </c>
      <c r="O14">
        <f>4*SUM(L14:L17)-(SUM(K14:K17))^2</f>
        <v>197251</v>
      </c>
      <c r="P14" s="9">
        <f>SQRT((SUM(N14:N17))^2/2)</f>
        <v>2.5121479338940403E-15</v>
      </c>
      <c r="Q14" s="1">
        <f>(4*SUM(M14:M17)-SUM(H14:H17)*SUM(K14:K17))/O14</f>
        <v>-2.1894213359553781E-3</v>
      </c>
      <c r="R14" s="1">
        <f>P14*SQRT(4/O14)</f>
        <v>1.1312682518110914E-17</v>
      </c>
      <c r="S14" s="2">
        <f>(SUM(L14:L17)*SUM(H14:H17)-SUM(K14:K17)*SUM(M14:M17))/O14</f>
        <v>5.7103845437823395</v>
      </c>
      <c r="T14" s="2">
        <f>1000*ATAN(Q14)</f>
        <v>-2.1894178375870372</v>
      </c>
      <c r="U14" s="12">
        <f t="shared" si="8"/>
        <v>1.1312682518110914E-14</v>
      </c>
    </row>
    <row r="15" spans="1:21" x14ac:dyDescent="0.25">
      <c r="A15">
        <v>-10</v>
      </c>
      <c r="B15">
        <v>574</v>
      </c>
      <c r="C15" s="4">
        <f t="shared" si="1"/>
        <v>114.8</v>
      </c>
      <c r="D15" s="3">
        <v>2.7</v>
      </c>
      <c r="E15" s="4">
        <f t="shared" si="2"/>
        <v>27</v>
      </c>
      <c r="F15">
        <v>306</v>
      </c>
      <c r="G15" s="1">
        <f t="shared" si="3"/>
        <v>3.0600000000000001E-4</v>
      </c>
      <c r="H15" s="2">
        <f t="shared" si="4"/>
        <v>5.0614997380240423</v>
      </c>
      <c r="I15" s="2">
        <f t="shared" si="5"/>
        <v>0.53079387529119437</v>
      </c>
      <c r="J15" s="3">
        <v>28.5</v>
      </c>
      <c r="K15" s="4">
        <f t="shared" si="6"/>
        <v>285</v>
      </c>
      <c r="L15" s="4">
        <f t="shared" si="0"/>
        <v>81225</v>
      </c>
      <c r="M15">
        <f t="shared" si="7"/>
        <v>1442.527425336852</v>
      </c>
      <c r="N15" s="13">
        <f>H15-Q14*K15-S14</f>
        <v>-2.489972501101434E-2</v>
      </c>
      <c r="P15" s="9"/>
      <c r="Q15" s="1"/>
      <c r="R15" s="1"/>
      <c r="S15" s="2"/>
      <c r="T15" s="2"/>
      <c r="U15" s="12"/>
    </row>
    <row r="16" spans="1:21" x14ac:dyDescent="0.25">
      <c r="A16">
        <v>-10</v>
      </c>
      <c r="B16">
        <v>570</v>
      </c>
      <c r="C16" s="4">
        <f t="shared" si="1"/>
        <v>114</v>
      </c>
      <c r="D16" s="3">
        <v>2.75</v>
      </c>
      <c r="E16" s="4">
        <f t="shared" si="2"/>
        <v>27.5</v>
      </c>
      <c r="F16">
        <v>312</v>
      </c>
      <c r="G16" s="1">
        <f t="shared" si="3"/>
        <v>3.1199999999999999E-4</v>
      </c>
      <c r="H16" s="2">
        <f t="shared" si="4"/>
        <v>5.2196848125417779</v>
      </c>
      <c r="I16" s="2">
        <f t="shared" si="5"/>
        <v>0.53738076379674493</v>
      </c>
      <c r="J16" s="3">
        <v>18.3</v>
      </c>
      <c r="K16" s="4">
        <f t="shared" si="6"/>
        <v>183</v>
      </c>
      <c r="L16" s="4">
        <f t="shared" si="0"/>
        <v>33489</v>
      </c>
      <c r="M16">
        <f t="shared" si="7"/>
        <v>955.20232069514532</v>
      </c>
      <c r="N16" s="13">
        <f>H16-Q14*K16-S14</f>
        <v>-9.0035626760727183E-2</v>
      </c>
      <c r="P16" s="9"/>
      <c r="Q16" s="1"/>
      <c r="R16" s="1"/>
      <c r="S16" s="2"/>
      <c r="T16" s="2"/>
      <c r="U16" s="12"/>
    </row>
    <row r="17" spans="1:21" x14ac:dyDescent="0.25">
      <c r="A17">
        <v>-10</v>
      </c>
      <c r="B17">
        <v>733</v>
      </c>
      <c r="C17" s="4">
        <f t="shared" si="1"/>
        <v>146.6</v>
      </c>
      <c r="D17" s="3">
        <v>2.85</v>
      </c>
      <c r="E17" s="4">
        <f t="shared" si="2"/>
        <v>28.5</v>
      </c>
      <c r="F17">
        <v>251</v>
      </c>
      <c r="G17" s="1">
        <f t="shared" si="3"/>
        <v>2.5099999999999998E-4</v>
      </c>
      <c r="H17" s="2">
        <f t="shared" si="4"/>
        <v>5.5963477323186126</v>
      </c>
      <c r="I17" s="2">
        <f t="shared" si="5"/>
        <v>0.57584140399098505</v>
      </c>
      <c r="J17" s="3">
        <v>8.3000000000000007</v>
      </c>
      <c r="K17" s="4">
        <f t="shared" si="6"/>
        <v>83</v>
      </c>
      <c r="L17" s="4">
        <f t="shared" si="0"/>
        <v>6889</v>
      </c>
      <c r="M17">
        <f t="shared" si="7"/>
        <v>464.49686178244485</v>
      </c>
      <c r="N17" s="13">
        <f>H17-Q14*K17-S14</f>
        <v>6.7685159420569185E-2</v>
      </c>
      <c r="P17" s="9"/>
      <c r="Q17" s="1"/>
      <c r="R17" s="1"/>
      <c r="S17" s="2"/>
      <c r="T17" s="2"/>
      <c r="U17" s="12"/>
    </row>
    <row r="18" spans="1:21" x14ac:dyDescent="0.25">
      <c r="A18">
        <v>0</v>
      </c>
      <c r="B18">
        <v>521</v>
      </c>
      <c r="C18" s="4">
        <f t="shared" si="1"/>
        <v>104.2</v>
      </c>
      <c r="D18" s="3">
        <v>2.9</v>
      </c>
      <c r="E18" s="4">
        <f t="shared" si="2"/>
        <v>29</v>
      </c>
      <c r="F18">
        <v>363</v>
      </c>
      <c r="G18" s="1">
        <f t="shared" si="3"/>
        <v>3.6299999999999999E-4</v>
      </c>
      <c r="H18" s="2">
        <f t="shared" si="4"/>
        <v>5.8536194072849597</v>
      </c>
      <c r="I18" s="2">
        <f t="shared" si="5"/>
        <v>0.56586943873815099</v>
      </c>
      <c r="J18" s="3">
        <v>38</v>
      </c>
      <c r="K18" s="4">
        <f t="shared" si="6"/>
        <v>380</v>
      </c>
      <c r="L18" s="4">
        <f t="shared" si="0"/>
        <v>144400</v>
      </c>
      <c r="M18">
        <f t="shared" si="7"/>
        <v>2224.3753747682845</v>
      </c>
      <c r="N18" s="13">
        <f>H18-Q18*K18-S18</f>
        <v>-1.3469084951310606E-2</v>
      </c>
      <c r="O18">
        <f>4*SUM(L18:L21)-(SUM(K18:K21))^2</f>
        <v>199240</v>
      </c>
      <c r="P18" s="9">
        <f>SQRT((SUM(N18:N21))^2/2)</f>
        <v>1.8841109504205299E-15</v>
      </c>
      <c r="Q18" s="1">
        <f>(4*SUM(M18:M21)-SUM(H18:H21)*SUM(K18:K21))/O18</f>
        <v>6.3683564013280482E-4</v>
      </c>
      <c r="R18" s="1">
        <f>P18*SQRT(4/O18)</f>
        <v>8.4420554969594513E-18</v>
      </c>
      <c r="S18" s="2">
        <f>(SUM(L18:L21)*SUM(H18:H21)-SUM(K18:K21)*SUM(M18:M21))/O18</f>
        <v>5.6250909489858048</v>
      </c>
      <c r="T18" s="2">
        <f>1000*ATAN(Q18)</f>
        <v>0.63683555404121628</v>
      </c>
      <c r="U18" s="12">
        <f t="shared" si="8"/>
        <v>8.4420554969594514E-15</v>
      </c>
    </row>
    <row r="19" spans="1:21" x14ac:dyDescent="0.25">
      <c r="A19">
        <v>0</v>
      </c>
      <c r="B19">
        <v>529</v>
      </c>
      <c r="C19" s="4">
        <f t="shared" si="1"/>
        <v>105.8</v>
      </c>
      <c r="D19" s="3">
        <v>2.8</v>
      </c>
      <c r="E19" s="4">
        <f t="shared" si="2"/>
        <v>28</v>
      </c>
      <c r="F19">
        <v>369</v>
      </c>
      <c r="G19" s="1">
        <f t="shared" si="3"/>
        <v>3.6900000000000002E-4</v>
      </c>
      <c r="H19" s="2">
        <f t="shared" si="4"/>
        <v>5.8334060161540702</v>
      </c>
      <c r="I19" s="2">
        <f t="shared" si="5"/>
        <v>0.58137248123295615</v>
      </c>
      <c r="J19" s="3">
        <v>28.4</v>
      </c>
      <c r="K19" s="4">
        <f t="shared" si="6"/>
        <v>284</v>
      </c>
      <c r="L19" s="4">
        <f t="shared" si="0"/>
        <v>80656</v>
      </c>
      <c r="M19">
        <f t="shared" si="7"/>
        <v>1656.687308587756</v>
      </c>
      <c r="N19" s="13">
        <f>H19-Q18*K19-S18</f>
        <v>2.7453745370548788E-2</v>
      </c>
      <c r="P19" s="9"/>
      <c r="Q19" s="1"/>
      <c r="R19" s="1"/>
      <c r="S19" s="2"/>
      <c r="T19" s="2"/>
      <c r="U19" s="12"/>
    </row>
    <row r="20" spans="1:21" x14ac:dyDescent="0.25">
      <c r="A20">
        <v>0</v>
      </c>
      <c r="B20">
        <v>552</v>
      </c>
      <c r="C20" s="4">
        <f t="shared" si="1"/>
        <v>110.4</v>
      </c>
      <c r="D20" s="3">
        <v>2.7</v>
      </c>
      <c r="E20" s="4">
        <f t="shared" si="2"/>
        <v>27</v>
      </c>
      <c r="F20">
        <v>360</v>
      </c>
      <c r="G20" s="1">
        <f t="shared" si="3"/>
        <v>3.6000000000000002E-4</v>
      </c>
      <c r="H20" s="2">
        <f t="shared" si="4"/>
        <v>5.7264764406420809</v>
      </c>
      <c r="I20" s="2">
        <f t="shared" si="5"/>
        <v>0.59124293988494125</v>
      </c>
      <c r="J20" s="3">
        <v>18.3</v>
      </c>
      <c r="K20" s="4">
        <f t="shared" si="6"/>
        <v>183</v>
      </c>
      <c r="L20" s="4">
        <f t="shared" si="0"/>
        <v>33489</v>
      </c>
      <c r="M20">
        <f t="shared" si="7"/>
        <v>1047.9451886375009</v>
      </c>
      <c r="N20" s="13">
        <f>H20-Q18*K20-S18</f>
        <v>-1.5155430488027477E-2</v>
      </c>
      <c r="P20" s="9"/>
      <c r="Q20" s="1"/>
      <c r="R20" s="1"/>
      <c r="S20" s="2"/>
      <c r="T20" s="2"/>
      <c r="U20" s="12"/>
    </row>
    <row r="21" spans="1:21" x14ac:dyDescent="0.25">
      <c r="A21">
        <v>0</v>
      </c>
      <c r="B21">
        <v>550</v>
      </c>
      <c r="C21" s="4">
        <f t="shared" si="1"/>
        <v>110</v>
      </c>
      <c r="D21" s="3">
        <v>2.65</v>
      </c>
      <c r="E21" s="4">
        <f t="shared" si="2"/>
        <v>26.5</v>
      </c>
      <c r="F21">
        <v>365</v>
      </c>
      <c r="G21" s="1">
        <f t="shared" si="3"/>
        <v>3.6499999999999998E-4</v>
      </c>
      <c r="H21" s="2">
        <f t="shared" si="4"/>
        <v>5.6778454059053489</v>
      </c>
      <c r="I21" s="2">
        <f t="shared" si="5"/>
        <v>0.59571647045535825</v>
      </c>
      <c r="J21" s="3">
        <v>8.1</v>
      </c>
      <c r="K21" s="4">
        <f t="shared" si="6"/>
        <v>81</v>
      </c>
      <c r="L21" s="4">
        <f t="shared" si="0"/>
        <v>6561</v>
      </c>
      <c r="M21">
        <f t="shared" si="7"/>
        <v>459.90547787833327</v>
      </c>
      <c r="N21" s="13">
        <f>H21-Q18*K21-S18</f>
        <v>1.1707700687866307E-3</v>
      </c>
      <c r="P21" s="9"/>
      <c r="Q21" s="1"/>
      <c r="R21" s="1"/>
      <c r="S21" s="2"/>
      <c r="T21" s="2"/>
      <c r="U21" s="12"/>
    </row>
    <row r="22" spans="1:21" x14ac:dyDescent="0.25">
      <c r="A22">
        <v>10</v>
      </c>
      <c r="B22">
        <v>582</v>
      </c>
      <c r="C22" s="4">
        <f t="shared" si="1"/>
        <v>116.4</v>
      </c>
      <c r="D22" s="3">
        <v>2.95</v>
      </c>
      <c r="E22" s="4">
        <f t="shared" si="2"/>
        <v>29.5</v>
      </c>
      <c r="F22">
        <v>392</v>
      </c>
      <c r="G22" s="1">
        <f t="shared" si="3"/>
        <v>3.9199999999999999E-4</v>
      </c>
      <c r="H22" s="2">
        <f t="shared" si="4"/>
        <v>7.1831213491677266</v>
      </c>
      <c r="I22" s="2">
        <f t="shared" si="5"/>
        <v>0.67906548940425338</v>
      </c>
      <c r="J22" s="3">
        <v>38</v>
      </c>
      <c r="K22" s="4">
        <f t="shared" si="6"/>
        <v>380</v>
      </c>
      <c r="L22" s="4">
        <f t="shared" si="0"/>
        <v>144400</v>
      </c>
      <c r="M22">
        <f t="shared" si="7"/>
        <v>2729.5861126837362</v>
      </c>
      <c r="N22" s="13">
        <f>H22-Q22*K22-S22</f>
        <v>4.3332169725853298E-2</v>
      </c>
      <c r="O22">
        <f>4*SUM(L22:L25)-(SUM(K22:K25))^2</f>
        <v>197864.75</v>
      </c>
      <c r="P22" s="9">
        <f>SQRT((SUM(N22:N25))^2/2)</f>
        <v>7.5364438016821196E-15</v>
      </c>
      <c r="Q22" s="1">
        <f>(4*SUM(M22:M25)-SUM(H22:H25)*SUM(K22:K25))/O22</f>
        <v>3.1236385395399966E-3</v>
      </c>
      <c r="R22" s="1">
        <f>P22*SQRT(4/O22)</f>
        <v>3.3885371030723467E-17</v>
      </c>
      <c r="S22" s="2">
        <f>(SUM(L22:L25)*SUM(H22:H25)-SUM(K22:K25)*SUM(M22:M25))/O22</f>
        <v>5.9528065344166743</v>
      </c>
      <c r="T22" s="2">
        <f>1000*ATAN(Q22)</f>
        <v>3.1236283803631499</v>
      </c>
      <c r="U22" s="12">
        <f t="shared" si="8"/>
        <v>3.3885371030723464E-14</v>
      </c>
    </row>
    <row r="23" spans="1:21" x14ac:dyDescent="0.25">
      <c r="A23">
        <v>10</v>
      </c>
      <c r="B23">
        <v>588</v>
      </c>
      <c r="C23" s="4">
        <f t="shared" si="1"/>
        <v>117.6</v>
      </c>
      <c r="D23" s="3">
        <v>2.85</v>
      </c>
      <c r="E23" s="4">
        <f t="shared" si="2"/>
        <v>28.5</v>
      </c>
      <c r="F23">
        <v>383</v>
      </c>
      <c r="G23" s="1">
        <f t="shared" si="3"/>
        <v>3.8299999999999999E-4</v>
      </c>
      <c r="H23" s="2">
        <f t="shared" si="4"/>
        <v>6.850197543844164</v>
      </c>
      <c r="I23" s="2">
        <f t="shared" si="5"/>
        <v>0.66965715539009552</v>
      </c>
      <c r="J23" s="3">
        <v>28.5</v>
      </c>
      <c r="K23" s="4">
        <f t="shared" si="6"/>
        <v>285</v>
      </c>
      <c r="L23" s="4">
        <f t="shared" si="0"/>
        <v>81225</v>
      </c>
      <c r="M23">
        <f t="shared" si="7"/>
        <v>1952.3062999955866</v>
      </c>
      <c r="N23" s="13">
        <f>H23-Q22*K23-S22</f>
        <v>7.1540256585906903E-3</v>
      </c>
      <c r="P23" s="9"/>
      <c r="Q23" s="1"/>
      <c r="R23" s="1"/>
      <c r="S23" s="2"/>
      <c r="T23" s="2"/>
      <c r="U23" s="12"/>
    </row>
    <row r="24" spans="1:21" x14ac:dyDescent="0.25">
      <c r="A24">
        <v>10</v>
      </c>
      <c r="B24">
        <v>569</v>
      </c>
      <c r="C24" s="4">
        <f t="shared" si="1"/>
        <v>113.8</v>
      </c>
      <c r="D24" s="3">
        <v>2.65</v>
      </c>
      <c r="E24" s="4">
        <f t="shared" si="2"/>
        <v>26.5</v>
      </c>
      <c r="F24">
        <v>397</v>
      </c>
      <c r="G24" s="1">
        <f t="shared" si="3"/>
        <v>3.97E-4</v>
      </c>
      <c r="H24" s="2">
        <f t="shared" si="4"/>
        <v>6.3889690275276561</v>
      </c>
      <c r="I24" s="2">
        <f t="shared" si="5"/>
        <v>0.66628483088959656</v>
      </c>
      <c r="J24" s="3">
        <v>18.45</v>
      </c>
      <c r="K24" s="4">
        <f t="shared" si="6"/>
        <v>184.5</v>
      </c>
      <c r="L24" s="4">
        <f t="shared" si="0"/>
        <v>34040.25</v>
      </c>
      <c r="M24">
        <f t="shared" si="7"/>
        <v>1178.7647855788525</v>
      </c>
      <c r="N24" s="13">
        <f>H24-Q22*K24-S22</f>
        <v>-0.14014881743414787</v>
      </c>
      <c r="P24" s="9"/>
      <c r="Q24" s="1"/>
      <c r="R24" s="1"/>
      <c r="S24" s="2"/>
      <c r="T24" s="2"/>
      <c r="U24" s="12"/>
    </row>
    <row r="25" spans="1:21" x14ac:dyDescent="0.25">
      <c r="A25">
        <v>10</v>
      </c>
      <c r="B25">
        <v>580</v>
      </c>
      <c r="C25" s="4">
        <f t="shared" si="1"/>
        <v>116</v>
      </c>
      <c r="D25" s="3">
        <v>2.75</v>
      </c>
      <c r="E25" s="4">
        <f t="shared" si="2"/>
        <v>27.5</v>
      </c>
      <c r="F25">
        <v>370</v>
      </c>
      <c r="G25" s="1">
        <f t="shared" si="3"/>
        <v>3.6999999999999999E-4</v>
      </c>
      <c r="H25" s="2">
        <f t="shared" si="4"/>
        <v>6.298607516708647</v>
      </c>
      <c r="I25" s="2">
        <f t="shared" si="5"/>
        <v>0.63803081214814106</v>
      </c>
      <c r="J25" s="3">
        <v>8.1999999999999993</v>
      </c>
      <c r="K25" s="4">
        <f t="shared" si="6"/>
        <v>82</v>
      </c>
      <c r="L25" s="4">
        <f t="shared" si="0"/>
        <v>6724</v>
      </c>
      <c r="M25">
        <f t="shared" si="7"/>
        <v>516.48581637010909</v>
      </c>
      <c r="N25" s="13">
        <f>H25-Q22*K25-S22</f>
        <v>8.9662622049693219E-2</v>
      </c>
      <c r="P25" s="9"/>
      <c r="Q25" s="1"/>
      <c r="R25" s="1"/>
      <c r="S25" s="2"/>
      <c r="T25" s="2"/>
      <c r="U25" s="12"/>
    </row>
    <row r="26" spans="1:21" x14ac:dyDescent="0.25">
      <c r="A26">
        <v>20</v>
      </c>
      <c r="B26">
        <v>659</v>
      </c>
      <c r="C26" s="4">
        <f t="shared" si="1"/>
        <v>131.80000000000001</v>
      </c>
      <c r="D26" s="3">
        <v>2.7</v>
      </c>
      <c r="E26" s="4">
        <f t="shared" si="2"/>
        <v>27</v>
      </c>
      <c r="F26">
        <v>421</v>
      </c>
      <c r="G26" s="1">
        <f t="shared" si="3"/>
        <v>4.2099999999999999E-4</v>
      </c>
      <c r="H26" s="2">
        <f t="shared" si="4"/>
        <v>7.9949068901736036</v>
      </c>
      <c r="I26" s="2">
        <f t="shared" si="5"/>
        <v>0.81623805786610282</v>
      </c>
      <c r="J26" s="3">
        <v>38.1</v>
      </c>
      <c r="K26" s="4">
        <f t="shared" si="6"/>
        <v>381</v>
      </c>
      <c r="L26" s="4">
        <f t="shared" si="0"/>
        <v>145161</v>
      </c>
      <c r="M26">
        <f t="shared" si="7"/>
        <v>3046.0595251561431</v>
      </c>
      <c r="N26" s="13">
        <f>H26-Q26*K26-S26</f>
        <v>2.8300660595550475E-2</v>
      </c>
      <c r="O26">
        <f>4*SUM(L26:L29)-(SUM(K26:K29))^2</f>
        <v>198035</v>
      </c>
      <c r="P26" s="9">
        <f>SQRT((SUM(N26:N29))^2/2)</f>
        <v>1.2560739669470201E-15</v>
      </c>
      <c r="Q26" s="1">
        <f>(4*SUM(M26:M29)-SUM(H26:H29)*SUM(K26:K29))/O26</f>
        <v>4.7053115848832957E-3</v>
      </c>
      <c r="R26" s="1">
        <f>P26*SQRT(4/O26)</f>
        <v>5.6451337218561764E-18</v>
      </c>
      <c r="S26" s="2">
        <f>(SUM(L26:L29)*SUM(H26:H29)-SUM(K26:K29)*SUM(M26:M29))/O26</f>
        <v>6.1738825157375175</v>
      </c>
      <c r="T26" s="2">
        <f>1000*ATAN(Q26)</f>
        <v>4.7052768602123489</v>
      </c>
      <c r="U26" s="12">
        <f t="shared" si="8"/>
        <v>5.6451337218561767E-15</v>
      </c>
    </row>
    <row r="27" spans="1:21" x14ac:dyDescent="0.25">
      <c r="A27">
        <v>20</v>
      </c>
      <c r="B27">
        <v>643</v>
      </c>
      <c r="C27" s="4">
        <f t="shared" si="1"/>
        <v>128.6</v>
      </c>
      <c r="D27" s="3">
        <v>2.85</v>
      </c>
      <c r="E27" s="4">
        <f t="shared" si="2"/>
        <v>28.5</v>
      </c>
      <c r="F27">
        <v>382</v>
      </c>
      <c r="G27" s="1">
        <f t="shared" si="3"/>
        <v>3.8200000000000002E-4</v>
      </c>
      <c r="H27" s="2">
        <f t="shared" si="4"/>
        <v>7.4713887049264969</v>
      </c>
      <c r="I27" s="2">
        <f t="shared" si="5"/>
        <v>0.7305311023711264</v>
      </c>
      <c r="J27" s="3">
        <v>28.5</v>
      </c>
      <c r="K27" s="4">
        <f t="shared" si="6"/>
        <v>285</v>
      </c>
      <c r="L27" s="4">
        <f t="shared" si="0"/>
        <v>81225</v>
      </c>
      <c r="M27">
        <f t="shared" si="7"/>
        <v>2129.3457809040515</v>
      </c>
      <c r="N27" s="13">
        <f>H27-Q26*K27-S26</f>
        <v>-4.3507612502759585E-2</v>
      </c>
      <c r="P27" s="9"/>
      <c r="Q27" s="1"/>
      <c r="R27" s="1"/>
      <c r="S27" s="2"/>
      <c r="T27" s="2"/>
      <c r="U27" s="12"/>
    </row>
    <row r="28" spans="1:21" x14ac:dyDescent="0.25">
      <c r="A28">
        <v>20</v>
      </c>
      <c r="B28">
        <v>602</v>
      </c>
      <c r="C28" s="4">
        <f t="shared" si="1"/>
        <v>120.4</v>
      </c>
      <c r="D28" s="3">
        <v>2.9</v>
      </c>
      <c r="E28" s="4">
        <f t="shared" si="2"/>
        <v>29</v>
      </c>
      <c r="F28">
        <v>378</v>
      </c>
      <c r="G28" s="1">
        <f t="shared" si="3"/>
        <v>3.7800000000000003E-4</v>
      </c>
      <c r="H28" s="2">
        <f t="shared" si="4"/>
        <v>7.0431741133766739</v>
      </c>
      <c r="I28" s="2">
        <f t="shared" si="5"/>
        <v>0.67839649888697562</v>
      </c>
      <c r="J28" s="3">
        <v>18.399999999999999</v>
      </c>
      <c r="K28" s="4">
        <f t="shared" si="6"/>
        <v>184</v>
      </c>
      <c r="L28" s="4">
        <f t="shared" si="0"/>
        <v>33856</v>
      </c>
      <c r="M28">
        <f t="shared" si="7"/>
        <v>1295.9440368613079</v>
      </c>
      <c r="N28" s="13">
        <f>H28-Q26*K28-S26</f>
        <v>3.5142660206304299E-3</v>
      </c>
      <c r="P28" s="9"/>
      <c r="Q28" s="1"/>
      <c r="R28" s="1"/>
      <c r="S28" s="2"/>
      <c r="T28" s="2"/>
      <c r="U28" s="12"/>
    </row>
    <row r="29" spans="1:21" x14ac:dyDescent="0.25">
      <c r="A29">
        <v>20</v>
      </c>
      <c r="B29">
        <v>585</v>
      </c>
      <c r="C29" s="4">
        <f t="shared" si="1"/>
        <v>117</v>
      </c>
      <c r="D29" s="3">
        <v>2.75</v>
      </c>
      <c r="E29" s="4">
        <f t="shared" si="2"/>
        <v>27.5</v>
      </c>
      <c r="F29">
        <v>383</v>
      </c>
      <c r="G29" s="1">
        <f t="shared" si="3"/>
        <v>3.8299999999999999E-4</v>
      </c>
      <c r="H29" s="2">
        <f t="shared" si="4"/>
        <v>6.5761160631694118</v>
      </c>
      <c r="I29" s="2">
        <f t="shared" si="5"/>
        <v>0.6643361549503719</v>
      </c>
      <c r="J29" s="3">
        <v>8.3000000000000007</v>
      </c>
      <c r="K29" s="4">
        <f t="shared" si="6"/>
        <v>83</v>
      </c>
      <c r="L29" s="4">
        <f t="shared" si="0"/>
        <v>6889</v>
      </c>
      <c r="M29">
        <f t="shared" si="7"/>
        <v>545.81763324306121</v>
      </c>
      <c r="N29" s="13">
        <f>H29-Q26*K29-S26</f>
        <v>1.1692685886580456E-2</v>
      </c>
      <c r="P29" s="9"/>
      <c r="Q29" s="1"/>
      <c r="R29" s="1"/>
      <c r="S29" s="2"/>
      <c r="T29" s="2"/>
      <c r="U29" s="12"/>
    </row>
    <row r="30" spans="1:21" x14ac:dyDescent="0.25">
      <c r="A30">
        <v>30</v>
      </c>
      <c r="B30">
        <v>598</v>
      </c>
      <c r="C30" s="4">
        <f t="shared" si="1"/>
        <v>119.6</v>
      </c>
      <c r="D30" s="3">
        <v>3</v>
      </c>
      <c r="E30" s="4">
        <f t="shared" ref="E30:E37" si="9">D30*10</f>
        <v>30</v>
      </c>
      <c r="F30">
        <v>567</v>
      </c>
      <c r="G30" s="1">
        <f t="shared" ref="G30:G37" si="10">F30/1000000</f>
        <v>5.6700000000000001E-4</v>
      </c>
      <c r="H30" s="2">
        <f t="shared" si="4"/>
        <v>10.856444918717278</v>
      </c>
      <c r="I30" s="2">
        <f t="shared" si="5"/>
        <v>0.98785562739305932</v>
      </c>
      <c r="J30" s="3">
        <v>38.1</v>
      </c>
      <c r="K30" s="4">
        <f t="shared" si="6"/>
        <v>381</v>
      </c>
      <c r="L30" s="4">
        <f t="shared" si="0"/>
        <v>145161</v>
      </c>
      <c r="M30">
        <f t="shared" si="7"/>
        <v>4136.3055140312827</v>
      </c>
      <c r="N30" s="13">
        <f>H30-Q30*K30-S30</f>
        <v>-0.12119027611574484</v>
      </c>
      <c r="O30">
        <f>4*SUM(L30:L33)-(SUM(K30:K33))^2</f>
        <v>173900</v>
      </c>
      <c r="P30" s="9">
        <f>SQRT((SUM(N30:N33))^2/2)</f>
        <v>6.2803698347351005E-15</v>
      </c>
      <c r="Q30" s="6">
        <f>(4*SUM(M30:M33)-SUM(H30:H33)*SUM(K30:K33))/O30</f>
        <v>1.1408539753415324E-2</v>
      </c>
      <c r="R30" s="1">
        <f>P30*SQRT(4/O30)</f>
        <v>3.0120725179858563E-17</v>
      </c>
      <c r="S30" s="2">
        <f>(SUM(L30:L33)*SUM(H30:H33)-SUM(K30:K33)*SUM(M30:M33))/O30</f>
        <v>6.6309815487817847</v>
      </c>
      <c r="T30" s="3">
        <f>1000*ATAN(Q30)</f>
        <v>11.408044833406537</v>
      </c>
      <c r="U30" s="12">
        <f t="shared" si="8"/>
        <v>3.0120725179858561E-14</v>
      </c>
    </row>
    <row r="31" spans="1:21" x14ac:dyDescent="0.25">
      <c r="A31">
        <v>30</v>
      </c>
      <c r="B31">
        <v>646</v>
      </c>
      <c r="C31" s="4">
        <f t="shared" si="1"/>
        <v>129.19999999999999</v>
      </c>
      <c r="D31" s="3">
        <v>3.1</v>
      </c>
      <c r="E31" s="4">
        <f t="shared" si="9"/>
        <v>31</v>
      </c>
      <c r="F31">
        <v>484</v>
      </c>
      <c r="G31" s="1">
        <f t="shared" si="10"/>
        <v>4.84E-4</v>
      </c>
      <c r="H31" s="2">
        <f t="shared" si="4"/>
        <v>10.344790720787929</v>
      </c>
      <c r="I31" s="2">
        <f t="shared" si="5"/>
        <v>0.92000600082476669</v>
      </c>
      <c r="J31" s="3">
        <v>30.5</v>
      </c>
      <c r="K31" s="4">
        <f t="shared" si="6"/>
        <v>305</v>
      </c>
      <c r="L31" s="4">
        <f t="shared" si="0"/>
        <v>93025</v>
      </c>
      <c r="M31">
        <f t="shared" si="7"/>
        <v>3155.1611698403181</v>
      </c>
      <c r="N31" s="13">
        <f>H31-Q30*K31-S30</f>
        <v>0.23420454721447026</v>
      </c>
      <c r="P31" s="9"/>
      <c r="Q31" s="1"/>
      <c r="R31" s="1"/>
      <c r="S31" s="2"/>
      <c r="T31" s="2"/>
    </row>
    <row r="32" spans="1:21" x14ac:dyDescent="0.25">
      <c r="A32">
        <v>30</v>
      </c>
      <c r="B32">
        <v>632</v>
      </c>
      <c r="C32" s="4">
        <f t="shared" si="1"/>
        <v>126.4</v>
      </c>
      <c r="D32" s="3">
        <v>3.1</v>
      </c>
      <c r="E32" s="4">
        <f t="shared" si="9"/>
        <v>31</v>
      </c>
      <c r="F32">
        <v>425</v>
      </c>
      <c r="G32" s="1">
        <f t="shared" si="10"/>
        <v>4.2499999999999998E-4</v>
      </c>
      <c r="H32" s="2">
        <f t="shared" si="4"/>
        <v>8.8868906801027236</v>
      </c>
      <c r="I32" s="2">
        <f t="shared" si="5"/>
        <v>0.79753224877913587</v>
      </c>
      <c r="J32" s="3">
        <v>20.9</v>
      </c>
      <c r="K32" s="4">
        <f t="shared" si="6"/>
        <v>209</v>
      </c>
      <c r="L32" s="4">
        <f t="shared" si="0"/>
        <v>43681</v>
      </c>
      <c r="M32">
        <f t="shared" si="7"/>
        <v>1857.3601521414691</v>
      </c>
      <c r="N32" s="13">
        <f>H32-Q30*K32-S30</f>
        <v>-0.12847567714286434</v>
      </c>
      <c r="P32" s="9"/>
      <c r="Q32" s="1"/>
      <c r="R32" s="1"/>
      <c r="S32" s="2"/>
      <c r="T32" s="2"/>
    </row>
    <row r="33" spans="1:21" x14ac:dyDescent="0.25">
      <c r="A33">
        <v>30</v>
      </c>
      <c r="B33">
        <v>620</v>
      </c>
      <c r="C33" s="4">
        <f t="shared" si="1"/>
        <v>124</v>
      </c>
      <c r="D33" s="3">
        <v>3</v>
      </c>
      <c r="E33" s="4">
        <f t="shared" si="9"/>
        <v>30</v>
      </c>
      <c r="F33">
        <v>394</v>
      </c>
      <c r="G33" s="1">
        <f t="shared" si="10"/>
        <v>3.9399999999999998E-4</v>
      </c>
      <c r="H33" s="2">
        <f t="shared" si="4"/>
        <v>7.8215225494277112</v>
      </c>
      <c r="I33" s="2">
        <f t="shared" si="5"/>
        <v>0.72782330146203078</v>
      </c>
      <c r="J33" s="3">
        <v>10.3</v>
      </c>
      <c r="K33" s="4">
        <f t="shared" si="6"/>
        <v>103</v>
      </c>
      <c r="L33" s="4">
        <f t="shared" si="0"/>
        <v>10609</v>
      </c>
      <c r="M33">
        <f t="shared" si="7"/>
        <v>805.6168225910543</v>
      </c>
      <c r="N33" s="13">
        <f>H33-Q30*K33-S30</f>
        <v>1.5461406044147807E-2</v>
      </c>
      <c r="P33" s="9"/>
      <c r="Q33" s="1"/>
      <c r="R33" s="1"/>
      <c r="S33" s="2"/>
      <c r="T33" s="2"/>
    </row>
    <row r="34" spans="1:21" x14ac:dyDescent="0.25">
      <c r="A34">
        <v>40</v>
      </c>
      <c r="B34">
        <v>494</v>
      </c>
      <c r="C34" s="4">
        <f t="shared" si="1"/>
        <v>98.8</v>
      </c>
      <c r="D34" s="3">
        <v>2.8</v>
      </c>
      <c r="E34" s="4">
        <f t="shared" si="9"/>
        <v>28</v>
      </c>
      <c r="F34">
        <v>841</v>
      </c>
      <c r="G34" s="1">
        <f t="shared" si="10"/>
        <v>8.4099999999999995E-4</v>
      </c>
      <c r="H34" s="2">
        <f t="shared" si="4"/>
        <v>12.415468481387252</v>
      </c>
      <c r="I34" s="2">
        <f t="shared" si="5"/>
        <v>1.1945518867635849</v>
      </c>
      <c r="J34" s="3">
        <v>38.1</v>
      </c>
      <c r="K34" s="4">
        <f t="shared" si="6"/>
        <v>381</v>
      </c>
      <c r="L34" s="4">
        <f t="shared" si="0"/>
        <v>145161</v>
      </c>
      <c r="M34">
        <f t="shared" si="7"/>
        <v>4730.2934914085436</v>
      </c>
      <c r="N34" s="13">
        <f>H34-Q34*K34-S34</f>
        <v>0.31257905921269291</v>
      </c>
      <c r="O34">
        <f>4*SUM(L34:L37)-(SUM(K34:K37))^2</f>
        <v>199635</v>
      </c>
      <c r="P34" s="9">
        <f>SQRT((SUM(N34:N37))^2/2)</f>
        <v>2.5121479338940403E-15</v>
      </c>
      <c r="Q34" s="6">
        <f>(4*SUM(M34:M37)-SUM(H34:H37)*SUM(K34:K37))/O34</f>
        <v>1.1960012382493484E-2</v>
      </c>
      <c r="R34" s="1">
        <f>P34*SQRT(4/O34)</f>
        <v>1.1244932786471704E-17</v>
      </c>
      <c r="S34" s="2">
        <f>(SUM(L34:L37)*SUM(H34:H37)-SUM(K34:K37)*SUM(M34:M37))/O34</f>
        <v>7.5461247044445425</v>
      </c>
      <c r="T34" s="3">
        <f>1000*ATAN(Q34)</f>
        <v>11.959442170481328</v>
      </c>
      <c r="U34" s="12">
        <f t="shared" si="8"/>
        <v>1.1244932786471704E-14</v>
      </c>
    </row>
    <row r="35" spans="1:21" x14ac:dyDescent="0.25">
      <c r="A35">
        <v>40</v>
      </c>
      <c r="B35">
        <v>594</v>
      </c>
      <c r="C35" s="4">
        <f t="shared" si="1"/>
        <v>118.8</v>
      </c>
      <c r="D35" s="3">
        <v>2.75</v>
      </c>
      <c r="E35" s="4">
        <f t="shared" si="9"/>
        <v>27.5</v>
      </c>
      <c r="F35">
        <v>602</v>
      </c>
      <c r="G35" s="1">
        <f t="shared" si="10"/>
        <v>6.02E-4</v>
      </c>
      <c r="H35" s="2">
        <f t="shared" si="4"/>
        <v>10.495370292100706</v>
      </c>
      <c r="I35" s="2">
        <f t="shared" si="5"/>
        <v>1.0359785750023724</v>
      </c>
      <c r="J35" s="3">
        <v>28.5</v>
      </c>
      <c r="K35" s="4">
        <f t="shared" si="6"/>
        <v>285</v>
      </c>
      <c r="L35" s="4">
        <f t="shared" si="0"/>
        <v>81225</v>
      </c>
      <c r="M35">
        <f t="shared" si="7"/>
        <v>2991.1805332487011</v>
      </c>
      <c r="N35" s="13">
        <f>H35-Q34*K35-S34</f>
        <v>-0.45935794135447949</v>
      </c>
      <c r="P35" s="9"/>
    </row>
    <row r="36" spans="1:21" x14ac:dyDescent="0.25">
      <c r="A36">
        <v>40</v>
      </c>
      <c r="B36">
        <v>541</v>
      </c>
      <c r="C36" s="4">
        <f t="shared" si="1"/>
        <v>108.2</v>
      </c>
      <c r="D36" s="3">
        <v>2.8</v>
      </c>
      <c r="E36" s="4">
        <f t="shared" si="9"/>
        <v>28</v>
      </c>
      <c r="F36">
        <v>602</v>
      </c>
      <c r="G36" s="1">
        <f t="shared" si="10"/>
        <v>6.02E-4</v>
      </c>
      <c r="H36" s="2">
        <f t="shared" si="4"/>
        <v>9.7327131426226821</v>
      </c>
      <c r="I36" s="2">
        <f t="shared" si="5"/>
        <v>0.94413888733800633</v>
      </c>
      <c r="J36" s="3">
        <v>18.3</v>
      </c>
      <c r="K36" s="4">
        <f t="shared" si="6"/>
        <v>183</v>
      </c>
      <c r="L36" s="4">
        <f t="shared" si="0"/>
        <v>33489</v>
      </c>
      <c r="M36">
        <f t="shared" si="7"/>
        <v>1781.0865050999507</v>
      </c>
      <c r="N36" s="13">
        <f>H36-Q34*K36-S34</f>
        <v>-2.0938278181681369E-3</v>
      </c>
      <c r="P36" s="9"/>
    </row>
    <row r="37" spans="1:21" x14ac:dyDescent="0.25">
      <c r="A37">
        <v>40</v>
      </c>
      <c r="B37">
        <v>603</v>
      </c>
      <c r="C37" s="4">
        <f t="shared" si="1"/>
        <v>120.6</v>
      </c>
      <c r="D37" s="3">
        <v>2.85</v>
      </c>
      <c r="E37" s="4">
        <f t="shared" si="9"/>
        <v>28.5</v>
      </c>
      <c r="F37">
        <v>473</v>
      </c>
      <c r="G37" s="1">
        <f t="shared" si="10"/>
        <v>4.73E-4</v>
      </c>
      <c r="H37" s="2">
        <f t="shared" si="4"/>
        <v>8.6757184297689598</v>
      </c>
      <c r="I37" s="2">
        <f t="shared" si="5"/>
        <v>0.83616292302549977</v>
      </c>
      <c r="J37" s="3">
        <v>8.1999999999999993</v>
      </c>
      <c r="K37" s="4">
        <f t="shared" si="6"/>
        <v>82</v>
      </c>
      <c r="L37" s="4">
        <f t="shared" si="0"/>
        <v>6724</v>
      </c>
      <c r="M37">
        <f t="shared" si="7"/>
        <v>711.40891124105474</v>
      </c>
      <c r="N37" s="13">
        <f>H37-Q34*K37-S34</f>
        <v>0.14887270995995117</v>
      </c>
      <c r="P37" s="9"/>
    </row>
    <row r="38" spans="1:21" x14ac:dyDescent="0.25">
      <c r="I38" s="2"/>
      <c r="J38" s="1"/>
    </row>
    <row r="39" spans="1:21" x14ac:dyDescent="0.25">
      <c r="N39" s="8"/>
      <c r="P39" s="8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5AF452-92C7-4A2E-968B-54D429D130F6}">
  <sheetPr codeName="Sheet2"/>
  <dimension ref="A1:AH10"/>
  <sheetViews>
    <sheetView workbookViewId="0">
      <selection activeCell="K21" sqref="K21"/>
    </sheetView>
  </sheetViews>
  <sheetFormatPr defaultRowHeight="15" x14ac:dyDescent="0.25"/>
  <cols>
    <col min="1" max="1" width="6.28515625" bestFit="1" customWidth="1"/>
    <col min="2" max="2" width="19.28515625" bestFit="1" customWidth="1"/>
    <col min="3" max="3" width="20.5703125" bestFit="1" customWidth="1"/>
    <col min="4" max="4" width="9.5703125" bestFit="1" customWidth="1"/>
    <col min="5" max="5" width="5.5703125" customWidth="1"/>
    <col min="6" max="9" width="18.85546875" bestFit="1" customWidth="1"/>
    <col min="10" max="10" width="16.85546875" bestFit="1" customWidth="1"/>
    <col min="11" max="14" width="18" bestFit="1" customWidth="1"/>
    <col min="15" max="15" width="14.140625" bestFit="1" customWidth="1"/>
    <col min="16" max="16" width="15.42578125" bestFit="1" customWidth="1"/>
    <col min="17" max="17" width="14.140625" bestFit="1" customWidth="1"/>
    <col min="18" max="18" width="15.42578125" bestFit="1" customWidth="1"/>
    <col min="19" max="19" width="14.140625" bestFit="1" customWidth="1"/>
    <col min="20" max="20" width="15.42578125" bestFit="1" customWidth="1"/>
    <col min="21" max="21" width="14.140625" customWidth="1"/>
    <col min="22" max="22" width="15.42578125" bestFit="1" customWidth="1"/>
    <col min="23" max="23" width="12.140625" bestFit="1" customWidth="1"/>
    <col min="24" max="24" width="13.5703125" bestFit="1" customWidth="1"/>
    <col min="25" max="25" width="13.28515625" bestFit="1" customWidth="1"/>
    <col min="26" max="26" width="14.5703125" bestFit="1" customWidth="1"/>
    <col min="27" max="27" width="13.28515625" bestFit="1" customWidth="1"/>
    <col min="28" max="28" width="14.5703125" bestFit="1" customWidth="1"/>
    <col min="29" max="29" width="13.28515625" bestFit="1" customWidth="1"/>
    <col min="30" max="30" width="14.5703125" bestFit="1" customWidth="1"/>
    <col min="31" max="31" width="13.28515625" bestFit="1" customWidth="1"/>
    <col min="32" max="32" width="14.5703125" bestFit="1" customWidth="1"/>
  </cols>
  <sheetData>
    <row r="1" spans="1:34" x14ac:dyDescent="0.25">
      <c r="A1" t="s">
        <v>0</v>
      </c>
      <c r="B1" t="s">
        <v>13</v>
      </c>
      <c r="C1" t="s">
        <v>44</v>
      </c>
      <c r="D1" t="s">
        <v>9</v>
      </c>
      <c r="E1" t="s">
        <v>24</v>
      </c>
      <c r="F1" t="s">
        <v>25</v>
      </c>
      <c r="G1" t="s">
        <v>26</v>
      </c>
      <c r="H1" t="s">
        <v>27</v>
      </c>
      <c r="I1" t="s">
        <v>28</v>
      </c>
      <c r="J1" t="s">
        <v>29</v>
      </c>
      <c r="K1" t="s">
        <v>30</v>
      </c>
      <c r="L1" t="s">
        <v>31</v>
      </c>
      <c r="M1" t="s">
        <v>32</v>
      </c>
      <c r="N1" t="s">
        <v>33</v>
      </c>
      <c r="O1" t="s">
        <v>14</v>
      </c>
      <c r="P1" t="s">
        <v>34</v>
      </c>
      <c r="Q1" t="s">
        <v>15</v>
      </c>
      <c r="R1" t="s">
        <v>35</v>
      </c>
      <c r="S1" t="s">
        <v>16</v>
      </c>
      <c r="T1" t="s">
        <v>36</v>
      </c>
      <c r="U1" t="s">
        <v>17</v>
      </c>
      <c r="V1" t="s">
        <v>37</v>
      </c>
      <c r="W1" t="s">
        <v>18</v>
      </c>
      <c r="X1" t="s">
        <v>38</v>
      </c>
      <c r="Y1" t="s">
        <v>19</v>
      </c>
      <c r="Z1" t="s">
        <v>40</v>
      </c>
      <c r="AA1" t="s">
        <v>20</v>
      </c>
      <c r="AB1" t="s">
        <v>39</v>
      </c>
      <c r="AC1" t="s">
        <v>21</v>
      </c>
      <c r="AD1" t="s">
        <v>41</v>
      </c>
      <c r="AE1" t="s">
        <v>22</v>
      </c>
      <c r="AF1" t="s">
        <v>42</v>
      </c>
    </row>
    <row r="2" spans="1:34" x14ac:dyDescent="0.25">
      <c r="A2" s="7">
        <f>Dataset1!$A$2</f>
        <v>-40</v>
      </c>
      <c r="B2" s="2">
        <f>Dataset1!$T$2</f>
        <v>-5.3461199448184544</v>
      </c>
      <c r="C2" s="6">
        <f>Dataset1!$U$2</f>
        <v>2.8197419131457842E-14</v>
      </c>
      <c r="D2" s="1">
        <f>Dataset1!$Q$2</f>
        <v>-5.3461708778827196E-3</v>
      </c>
      <c r="E2" s="2">
        <f>Dataset1!$S$2</f>
        <v>5.4568564775298771</v>
      </c>
      <c r="F2" s="7">
        <f>Dataset1!$K$2</f>
        <v>381</v>
      </c>
      <c r="G2" s="7">
        <f>Dataset1!$K$6</f>
        <v>356</v>
      </c>
      <c r="H2" s="7">
        <f>Dataset1!$K$10</f>
        <v>381</v>
      </c>
      <c r="I2" s="7">
        <f>Dataset1!$K$14</f>
        <v>380</v>
      </c>
      <c r="J2" s="7">
        <f>Dataset1!$K$18</f>
        <v>380</v>
      </c>
      <c r="K2" s="7">
        <f>Dataset1!$K$22</f>
        <v>380</v>
      </c>
      <c r="L2" s="7">
        <f>Dataset1!$K$26</f>
        <v>381</v>
      </c>
      <c r="M2" s="7">
        <f>Dataset1!$K$30</f>
        <v>381</v>
      </c>
      <c r="N2" s="7">
        <f>Dataset1!$K$34</f>
        <v>381</v>
      </c>
      <c r="O2" s="2">
        <f>Dataset1!$H$2</f>
        <v>3.3932444569269644</v>
      </c>
      <c r="P2" s="10">
        <f>Dataset1!$I$2</f>
        <v>0.3785217414391307</v>
      </c>
      <c r="Q2" s="2">
        <f>Dataset1!$H$6</f>
        <v>3.9008995220315907</v>
      </c>
      <c r="R2" s="10">
        <f>Dataset1!$I$6</f>
        <v>0.40823343872349294</v>
      </c>
      <c r="S2" s="2">
        <f>Dataset1!$H$10</f>
        <v>4.1309601238907199</v>
      </c>
      <c r="T2" s="10">
        <f>Dataset1!$I$10</f>
        <v>0.45736125566860381</v>
      </c>
      <c r="U2" s="10">
        <f>Dataset1!$H$14</f>
        <v>4.9256546284704648</v>
      </c>
      <c r="V2" s="10">
        <f>Dataset1!$I$14</f>
        <v>0.52539657740271839</v>
      </c>
      <c r="W2" s="2">
        <f>Dataset1!$H$18</f>
        <v>5.8536194072849597</v>
      </c>
      <c r="X2" s="10">
        <f>Dataset1!$I$18</f>
        <v>0.56586943873815099</v>
      </c>
      <c r="Y2" s="2">
        <f>Dataset1!$H$22</f>
        <v>7.1831213491677266</v>
      </c>
      <c r="Z2" s="10">
        <f>Dataset1!$I$22</f>
        <v>0.67906548940425338</v>
      </c>
      <c r="AA2" s="2">
        <f>Dataset1!$H$26</f>
        <v>7.9949068901736036</v>
      </c>
      <c r="AB2" s="10">
        <f>Dataset1!$I$26</f>
        <v>0.81623805786610282</v>
      </c>
      <c r="AC2" s="3">
        <f>Dataset1!$H$30</f>
        <v>10.856444918717278</v>
      </c>
      <c r="AD2" s="2">
        <f>Dataset1!$I$30</f>
        <v>0.98785562739305932</v>
      </c>
      <c r="AE2" s="3">
        <f>Dataset1!$H$34</f>
        <v>12.415468481387252</v>
      </c>
      <c r="AF2" s="2">
        <f>Dataset1!$I$34</f>
        <v>1.1945518867635849</v>
      </c>
      <c r="AG2" s="2"/>
      <c r="AH2" s="2"/>
    </row>
    <row r="3" spans="1:34" x14ac:dyDescent="0.25">
      <c r="A3" s="7">
        <f>Dataset1!$A$6</f>
        <v>-30</v>
      </c>
      <c r="B3" s="2">
        <f>Dataset1!$T$6</f>
        <v>-4.5659695693067945</v>
      </c>
      <c r="C3" s="1">
        <f>Dataset1!$U$6</f>
        <v>3.9428251045725415E-14</v>
      </c>
      <c r="D3" s="1">
        <f>Dataset1!$Q$6</f>
        <v>-4.5660013001348121E-3</v>
      </c>
      <c r="E3" s="2">
        <f>Dataset1!$S$6</f>
        <v>5.4720280593175277</v>
      </c>
      <c r="F3" s="7">
        <f>Dataset1!$K$3</f>
        <v>285</v>
      </c>
      <c r="G3" s="7">
        <f>Dataset1!$K$7</f>
        <v>285</v>
      </c>
      <c r="H3" s="7">
        <f>Dataset1!$K$11</f>
        <v>305</v>
      </c>
      <c r="I3" s="7">
        <f>Dataset1!$K$15</f>
        <v>285</v>
      </c>
      <c r="J3" s="7">
        <f>Dataset1!$K$19</f>
        <v>284</v>
      </c>
      <c r="K3" s="7">
        <f>Dataset1!$K$23</f>
        <v>285</v>
      </c>
      <c r="L3" s="7">
        <f>Dataset1!$K$27</f>
        <v>285</v>
      </c>
      <c r="M3" s="7">
        <f>Dataset1!$K$31</f>
        <v>305</v>
      </c>
      <c r="N3" s="7">
        <f>Dataset1!$K$35</f>
        <v>285</v>
      </c>
      <c r="O3" s="2">
        <f>Dataset1!$H$3</f>
        <v>3.9724335168125595</v>
      </c>
      <c r="P3" s="10">
        <f>Dataset1!$I$3</f>
        <v>0.41564829192926311</v>
      </c>
      <c r="Q3" s="2">
        <f>Dataset1!$H$7</f>
        <v>4.156280494089212</v>
      </c>
      <c r="R3" s="10">
        <f>Dataset1!$I$7</f>
        <v>0.43690577801946273</v>
      </c>
      <c r="S3" s="2">
        <f>Dataset1!$H$11</f>
        <v>4.369809852734531</v>
      </c>
      <c r="T3" s="10">
        <f>Dataset1!$I$11</f>
        <v>0.46765358617391284</v>
      </c>
      <c r="U3" s="10">
        <f>Dataset1!$H$15</f>
        <v>5.0614997380240423</v>
      </c>
      <c r="V3" s="10">
        <f>Dataset1!$I$15</f>
        <v>0.53079387529119437</v>
      </c>
      <c r="W3" s="2">
        <f>Dataset1!$H$19</f>
        <v>5.8334060161540702</v>
      </c>
      <c r="X3" s="10">
        <f>Dataset1!$I$19</f>
        <v>0.58137248123295615</v>
      </c>
      <c r="Y3" s="2">
        <f>Dataset1!$H$23</f>
        <v>6.850197543844164</v>
      </c>
      <c r="Z3" s="10">
        <f>Dataset1!$I$23</f>
        <v>0.66965715539009552</v>
      </c>
      <c r="AA3" s="2">
        <f>Dataset1!$H$27</f>
        <v>7.4713887049264969</v>
      </c>
      <c r="AB3" s="10">
        <f>Dataset1!$I$27</f>
        <v>0.7305311023711264</v>
      </c>
      <c r="AC3" s="3">
        <f>Dataset1!$H$31</f>
        <v>10.344790720787929</v>
      </c>
      <c r="AD3" s="2">
        <f>Dataset1!$I$31</f>
        <v>0.92000600082476669</v>
      </c>
      <c r="AE3" s="3">
        <f>Dataset1!$H$35</f>
        <v>10.495370292100706</v>
      </c>
      <c r="AF3" s="2">
        <f>Dataset1!$I$35</f>
        <v>1.0359785750023724</v>
      </c>
    </row>
    <row r="4" spans="1:34" x14ac:dyDescent="0.25">
      <c r="A4" s="7">
        <f>Dataset1!$A$10</f>
        <v>-20</v>
      </c>
      <c r="B4" s="2">
        <f>Dataset1!$T$10</f>
        <v>-3.6606950454224556</v>
      </c>
      <c r="C4" s="11">
        <f>Dataset1!$U$10</f>
        <v>2.7598307684984461E-14</v>
      </c>
      <c r="D4" s="1">
        <f>Dataset1!$Q$10</f>
        <v>-3.6607113974544258E-3</v>
      </c>
      <c r="E4" s="2">
        <f>Dataset1!$S$10</f>
        <v>5.5351247245070718</v>
      </c>
      <c r="F4" s="7">
        <f>Dataset1!$K$4</f>
        <v>183</v>
      </c>
      <c r="G4" s="7">
        <f>Dataset1!$K$8</f>
        <v>184</v>
      </c>
      <c r="H4" s="7">
        <f>Dataset1!$K$12</f>
        <v>210</v>
      </c>
      <c r="I4" s="7">
        <f>Dataset1!$K$16</f>
        <v>183</v>
      </c>
      <c r="J4" s="7">
        <f>Dataset1!$K$20</f>
        <v>183</v>
      </c>
      <c r="K4" s="7">
        <f>Dataset1!$K$24</f>
        <v>184.5</v>
      </c>
      <c r="L4" s="7">
        <f>Dataset1!$K$28</f>
        <v>184</v>
      </c>
      <c r="M4" s="7">
        <f>Dataset1!$K$32</f>
        <v>209</v>
      </c>
      <c r="N4" s="7">
        <f>Dataset1!$K$36</f>
        <v>183</v>
      </c>
      <c r="O4" s="2">
        <f>Dataset1!$H$4</f>
        <v>4.4788793431954304</v>
      </c>
      <c r="P4" s="10">
        <f>Dataset1!$I$4</f>
        <v>0.46117731064138623</v>
      </c>
      <c r="Q4" s="2">
        <f>Dataset1!$H$8</f>
        <v>4.5145694957598197</v>
      </c>
      <c r="R4" s="10">
        <f>Dataset1!$I$8</f>
        <v>0.50065322513610799</v>
      </c>
      <c r="S4" s="2">
        <f>Dataset1!$H$12</f>
        <v>4.8858708879826107</v>
      </c>
      <c r="T4" s="10">
        <f>Dataset1!$I$12</f>
        <v>0.50206146498415194</v>
      </c>
      <c r="U4" s="10">
        <f>Dataset1!$H$16</f>
        <v>5.2196848125417779</v>
      </c>
      <c r="V4" s="10">
        <f>Dataset1!$I$16</f>
        <v>0.53738076379674493</v>
      </c>
      <c r="W4" s="2">
        <f>Dataset1!$H$20</f>
        <v>5.7264764406420809</v>
      </c>
      <c r="X4" s="10">
        <f>Dataset1!$I$20</f>
        <v>0.59124293988494125</v>
      </c>
      <c r="Y4" s="2">
        <f>Dataset1!$H$24</f>
        <v>6.3889690275276561</v>
      </c>
      <c r="Z4" s="10">
        <f>Dataset1!$I$24</f>
        <v>0.66628483088959656</v>
      </c>
      <c r="AA4" s="2">
        <f>Dataset1!$H$28</f>
        <v>7.0431741133766739</v>
      </c>
      <c r="AB4" s="10">
        <f>Dataset1!$I$28</f>
        <v>0.67839649888697562</v>
      </c>
      <c r="AC4" s="3">
        <f>Dataset1!$H$32</f>
        <v>8.8868906801027236</v>
      </c>
      <c r="AD4" s="10">
        <f>Dataset1!$I$32</f>
        <v>0.79753224877913587</v>
      </c>
      <c r="AE4" s="3">
        <f>Dataset1!$H$36</f>
        <v>9.7327131426226821</v>
      </c>
      <c r="AF4" s="2">
        <f>Dataset1!$I$36</f>
        <v>0.94413888733800633</v>
      </c>
    </row>
    <row r="5" spans="1:34" x14ac:dyDescent="0.25">
      <c r="A5" s="7">
        <f>Dataset1!$A$14</f>
        <v>-10</v>
      </c>
      <c r="B5" s="2">
        <f>Dataset1!$T$14</f>
        <v>-2.1894178375870372</v>
      </c>
      <c r="C5" s="5">
        <f>Dataset1!$U$14</f>
        <v>1.1312682518110914E-14</v>
      </c>
      <c r="D5" s="1">
        <f>Dataset1!$Q$14</f>
        <v>-2.1894213359553781E-3</v>
      </c>
      <c r="E5" s="2">
        <f>Dataset1!$S$14</f>
        <v>5.7103845437823395</v>
      </c>
      <c r="F5" s="4">
        <f>Dataset1!$K$5</f>
        <v>83</v>
      </c>
      <c r="G5" s="4">
        <f>Dataset1!$K$9</f>
        <v>82</v>
      </c>
      <c r="H5" s="7">
        <f>Dataset1!$K$13</f>
        <v>108</v>
      </c>
      <c r="I5" s="4">
        <f>Dataset1!$K$17</f>
        <v>83</v>
      </c>
      <c r="J5" s="4">
        <f>Dataset1!$K$21</f>
        <v>81</v>
      </c>
      <c r="K5" s="4">
        <f>Dataset1!$K$25</f>
        <v>82</v>
      </c>
      <c r="L5" s="4">
        <f>Dataset1!$K$29</f>
        <v>83</v>
      </c>
      <c r="M5" s="7">
        <f>Dataset1!$K$33</f>
        <v>103</v>
      </c>
      <c r="N5" s="4">
        <f>Dataset1!$K$37</f>
        <v>82</v>
      </c>
      <c r="O5" s="2">
        <f>Dataset1!$H$5</f>
        <v>5.0002373349978502</v>
      </c>
      <c r="P5" s="10">
        <f>Dataset1!$I$5</f>
        <v>0.52945704852794095</v>
      </c>
      <c r="Q5" s="2">
        <f>Dataset1!$H$9</f>
        <v>5.1749995461672018</v>
      </c>
      <c r="R5" s="10">
        <f>Dataset1!$I$9</f>
        <v>0.5339699497684447</v>
      </c>
      <c r="S5" s="2">
        <f>Dataset1!$H$13</f>
        <v>5.0785037903761907</v>
      </c>
      <c r="T5" s="10">
        <f>Dataset1!$I$13</f>
        <v>0.51847248442193117</v>
      </c>
      <c r="U5" s="10">
        <f>Dataset1!$H$17</f>
        <v>5.5963477323186126</v>
      </c>
      <c r="V5" s="10">
        <f>Dataset1!$I$17</f>
        <v>0.57584140399098505</v>
      </c>
      <c r="W5" s="2">
        <f>Dataset1!$H$21</f>
        <v>5.6778454059053489</v>
      </c>
      <c r="X5" s="10">
        <f>Dataset1!$I$21</f>
        <v>0.59571647045535825</v>
      </c>
      <c r="Y5" s="2">
        <f>Dataset1!$H$25</f>
        <v>6.298607516708647</v>
      </c>
      <c r="Z5" s="10">
        <f>Dataset1!$I$25</f>
        <v>0.63803081214814106</v>
      </c>
      <c r="AA5" s="2">
        <f>Dataset1!$H$29</f>
        <v>6.5761160631694118</v>
      </c>
      <c r="AB5" s="10">
        <f>Dataset1!$I$29</f>
        <v>0.6643361549503719</v>
      </c>
      <c r="AC5" s="2">
        <f>Dataset1!$H$33</f>
        <v>7.8215225494277112</v>
      </c>
      <c r="AD5" s="10">
        <f>Dataset1!$I$33</f>
        <v>0.72782330146203078</v>
      </c>
      <c r="AE5" s="3">
        <f>Dataset1!$H$37</f>
        <v>8.6757184297689598</v>
      </c>
      <c r="AF5" s="10">
        <f>Dataset1!$I$37</f>
        <v>0.83616292302549977</v>
      </c>
    </row>
    <row r="6" spans="1:34" x14ac:dyDescent="0.25">
      <c r="A6" s="7">
        <f>Dataset1!$A$18</f>
        <v>0</v>
      </c>
      <c r="B6" s="10">
        <f>Dataset1!$T$18</f>
        <v>0.63683555404121628</v>
      </c>
      <c r="C6" s="11">
        <f>Dataset1!$U$18</f>
        <v>8.4420554969594514E-15</v>
      </c>
      <c r="D6" s="5">
        <f>Dataset1!$Q$18</f>
        <v>6.3683564013280482E-4</v>
      </c>
      <c r="E6" s="2">
        <f>Dataset1!$S$18</f>
        <v>5.6250909489858048</v>
      </c>
      <c r="Q6" s="2"/>
    </row>
    <row r="7" spans="1:34" x14ac:dyDescent="0.25">
      <c r="A7" s="7">
        <f>Dataset1!$A$22</f>
        <v>10</v>
      </c>
      <c r="B7" s="2">
        <f>Dataset1!$T$22</f>
        <v>3.1236283803631499</v>
      </c>
      <c r="C7" s="5">
        <f>Dataset1!$U$22</f>
        <v>3.3885371030723464E-14</v>
      </c>
      <c r="D7" s="1">
        <f>Dataset1!$Q$22</f>
        <v>3.1236385395399966E-3</v>
      </c>
      <c r="E7" s="2">
        <f>Dataset1!$S$22</f>
        <v>5.9528065344166743</v>
      </c>
    </row>
    <row r="8" spans="1:34" x14ac:dyDescent="0.25">
      <c r="A8" s="7">
        <f>Dataset1!$A$26</f>
        <v>20</v>
      </c>
      <c r="B8" s="2">
        <f>Dataset1!$T$26</f>
        <v>4.7052768602123489</v>
      </c>
      <c r="C8" s="5">
        <f>Dataset1!$U$26</f>
        <v>5.6451337218561767E-15</v>
      </c>
      <c r="D8" s="1">
        <f>Dataset1!$Q$26</f>
        <v>4.7053115848832957E-3</v>
      </c>
      <c r="E8" s="2">
        <f>Dataset1!$S$26</f>
        <v>6.1738825157375175</v>
      </c>
    </row>
    <row r="9" spans="1:34" x14ac:dyDescent="0.25">
      <c r="A9" s="7">
        <f>Dataset1!$A$30</f>
        <v>30</v>
      </c>
      <c r="B9" s="3">
        <f>Dataset1!$T$30</f>
        <v>11.408044833406537</v>
      </c>
      <c r="C9" s="1">
        <f>Dataset1!$U$30</f>
        <v>3.0120725179858561E-14</v>
      </c>
      <c r="D9" s="6">
        <f>Dataset1!$Q$30</f>
        <v>1.1408539753415324E-2</v>
      </c>
      <c r="E9" s="2">
        <f>Dataset1!$S$30</f>
        <v>6.6309815487817847</v>
      </c>
    </row>
    <row r="10" spans="1:34" x14ac:dyDescent="0.25">
      <c r="A10" s="7">
        <f>Dataset1!$A$34</f>
        <v>40</v>
      </c>
      <c r="B10" s="3">
        <f>Dataset1!$T$34</f>
        <v>11.959442170481328</v>
      </c>
      <c r="C10" s="6">
        <f>Dataset1!$U$34</f>
        <v>1.1244932786471704E-14</v>
      </c>
      <c r="D10" s="6">
        <f>Dataset1!$Q$34</f>
        <v>1.1960012382493484E-2</v>
      </c>
      <c r="E10" s="2">
        <f>Dataset1!$S$34</f>
        <v>7.5461247044445425</v>
      </c>
    </row>
  </sheetData>
  <phoneticPr fontId="1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Dataset1</vt:lpstr>
      <vt:lpstr>Data1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Aidan S.</dc:creator>
  <cp:lastModifiedBy>Aidan S.</cp:lastModifiedBy>
  <dcterms:created xsi:type="dcterms:W3CDTF">2025-02-28T01:22:48Z</dcterms:created>
  <dcterms:modified xsi:type="dcterms:W3CDTF">2025-11-05T01:21:46Z</dcterms:modified>
</cp:coreProperties>
</file>